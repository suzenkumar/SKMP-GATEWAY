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/>
  <bookViews>
    <workbookView xWindow="-105" yWindow="-105" windowWidth="20730" windowHeight="11760"/>
  </bookViews>
  <sheets>
    <sheet name="CustomerMgr" sheetId="1" r:id="rId1"/>
    <sheet name="Customers" sheetId="2" r:id="rId2"/>
    <sheet name="Contacts" sheetId="5" r:id="rId3"/>
    <sheet name="Invoices" sheetId="3" r:id="rId4"/>
    <sheet name="Work Orders" sheetId="4" r:id="rId5"/>
  </sheets>
  <definedNames>
    <definedName name="_xlnm._FilterDatabase" localSheetId="2" hidden="1">Contacts!$A$3:$G$29</definedName>
    <definedName name="_xlnm._FilterDatabase" localSheetId="3" hidden="1">Invoices!$A$2:$E$25</definedName>
    <definedName name="_xlnm._FilterDatabase" localSheetId="4" hidden="1">'Work Orders'!$A$2:$D$25</definedName>
    <definedName name="_xlnm.Criteria" localSheetId="2">Contacts!$J$2:$J$3</definedName>
    <definedName name="_xlnm.Criteria" localSheetId="3">Invoices!$G$2:$G$3</definedName>
    <definedName name="_xlnm.Criteria" localSheetId="4">'Work Orders'!$F$2:$F$3</definedName>
    <definedName name="CustID">OFFSET(Customers!$A$3,1,,COUNTA(Customers!$A$3:$A$99997)-1,1)</definedName>
    <definedName name="CustName">OFFSET(Customers!$B$3,1,,COUNTA(Customers!$B$3:$B$99997)-1,1)</definedName>
    <definedName name="_xlnm.Extract" localSheetId="2">Contacts!$L$2:$Q$2</definedName>
    <definedName name="_xlnm.Extract" localSheetId="3">Invoices!$I$2:$L$2</definedName>
    <definedName name="_xlnm.Extract" localSheetId="4">'Work Orders'!$H$2:$J$2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9" i="5"/>
  <c r="G28"/>
  <c r="J3" l="1"/>
  <c r="F3" i="4"/>
  <c r="G3" i="3"/>
  <c r="B10" i="1"/>
  <c r="B4"/>
  <c r="B8"/>
  <c r="F5" i="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4"/>
</calcChain>
</file>

<file path=xl/sharedStrings.xml><?xml version="1.0" encoding="utf-8"?>
<sst xmlns="http://schemas.openxmlformats.org/spreadsheetml/2006/main" count="490" uniqueCount="255">
  <si>
    <t>Name</t>
  </si>
  <si>
    <t>Office</t>
  </si>
  <si>
    <t>Mobile</t>
  </si>
  <si>
    <t>Website</t>
  </si>
  <si>
    <t>Email</t>
  </si>
  <si>
    <t>Type</t>
  </si>
  <si>
    <t>Address</t>
  </si>
  <si>
    <t>City</t>
  </si>
  <si>
    <t>State</t>
  </si>
  <si>
    <t>Zip</t>
  </si>
  <si>
    <t>Notes</t>
  </si>
  <si>
    <t>Invoice Date</t>
  </si>
  <si>
    <t>WO #</t>
  </si>
  <si>
    <t>Invoices</t>
  </si>
  <si>
    <t>Work Orders</t>
  </si>
  <si>
    <t>Amount</t>
  </si>
  <si>
    <t>Status</t>
  </si>
  <si>
    <t>First Name</t>
  </si>
  <si>
    <t>Last Name</t>
  </si>
  <si>
    <t>Phone 1</t>
  </si>
  <si>
    <t>Phone 2</t>
  </si>
  <si>
    <t>Contact List</t>
  </si>
  <si>
    <t>Invoice #</t>
  </si>
  <si>
    <t>Work Order Date</t>
  </si>
  <si>
    <t>Select Customer:</t>
  </si>
  <si>
    <t>Open</t>
  </si>
  <si>
    <t>Customer List</t>
  </si>
  <si>
    <t>Cust ID</t>
  </si>
  <si>
    <t>Asia Electric</t>
  </si>
  <si>
    <t>Erat Inc.</t>
  </si>
  <si>
    <t>Sit LLP</t>
  </si>
  <si>
    <t>Fermentum Institute</t>
  </si>
  <si>
    <t>Egestas A Inc.</t>
  </si>
  <si>
    <t>Purus Duis Elementum Industries</t>
  </si>
  <si>
    <t>Mus LLC</t>
  </si>
  <si>
    <t>Sit Industries</t>
  </si>
  <si>
    <t>Metus Vitae Velit Consulting</t>
  </si>
  <si>
    <t>Lacus Quisque Consulting</t>
  </si>
  <si>
    <t>Posuere Cubilia Inc.</t>
  </si>
  <si>
    <t>Ut Dolor Associates</t>
  </si>
  <si>
    <t>Sodales Nisi Industries</t>
  </si>
  <si>
    <t>Tellus Nunc Lectus Limited</t>
  </si>
  <si>
    <t>Morbi Neque Company</t>
  </si>
  <si>
    <t>Quis Diam LLP</t>
  </si>
  <si>
    <t>Nunc Ac Company</t>
  </si>
  <si>
    <t>Sit Foundation</t>
  </si>
  <si>
    <t>Elit A Feugiat LLC</t>
  </si>
  <si>
    <t>Arcu Associates</t>
  </si>
  <si>
    <t>Rashad</t>
  </si>
  <si>
    <t>Clayton</t>
  </si>
  <si>
    <t>Hamish</t>
  </si>
  <si>
    <t>Walton</t>
  </si>
  <si>
    <t>Zorita</t>
  </si>
  <si>
    <t>Harrisoning</t>
  </si>
  <si>
    <t>Benedict</t>
  </si>
  <si>
    <t>Ross</t>
  </si>
  <si>
    <t>Otto</t>
  </si>
  <si>
    <t>Wilder</t>
  </si>
  <si>
    <t>Carla</t>
  </si>
  <si>
    <t>Gamble</t>
  </si>
  <si>
    <t>Rhiannon</t>
  </si>
  <si>
    <t>Cooke</t>
  </si>
  <si>
    <t>Dexter</t>
  </si>
  <si>
    <t>Bauer</t>
  </si>
  <si>
    <t>Merritt</t>
  </si>
  <si>
    <t>Anne</t>
  </si>
  <si>
    <t>Ray</t>
  </si>
  <si>
    <t>Cairo</t>
  </si>
  <si>
    <t>Horne</t>
  </si>
  <si>
    <t>Jermaine</t>
  </si>
  <si>
    <t>Bernard</t>
  </si>
  <si>
    <t>Chandler</t>
  </si>
  <si>
    <t>Osborne</t>
  </si>
  <si>
    <t>Fuller</t>
  </si>
  <si>
    <t>Santiago</t>
  </si>
  <si>
    <t>Ariel</t>
  </si>
  <si>
    <t>Snyder</t>
  </si>
  <si>
    <t>Harper</t>
  </si>
  <si>
    <t>Shepard</t>
  </si>
  <si>
    <t>Talon</t>
  </si>
  <si>
    <t>Lindsey</t>
  </si>
  <si>
    <t>Levi</t>
  </si>
  <si>
    <t>Sexton</t>
  </si>
  <si>
    <t>Peter</t>
  </si>
  <si>
    <t>Barry</t>
  </si>
  <si>
    <t>Lucas</t>
  </si>
  <si>
    <t>Salas</t>
  </si>
  <si>
    <t>Brynn</t>
  </si>
  <si>
    <t>Ferguson</t>
  </si>
  <si>
    <t>Liberty</t>
  </si>
  <si>
    <t>Moran</t>
  </si>
  <si>
    <t>Justin</t>
  </si>
  <si>
    <t>Combs</t>
  </si>
  <si>
    <t>Office #</t>
  </si>
  <si>
    <t>Mobile #</t>
  </si>
  <si>
    <t>B2</t>
  </si>
  <si>
    <t>E4</t>
  </si>
  <si>
    <t>I4</t>
  </si>
  <si>
    <t>K4</t>
  </si>
  <si>
    <t>E6</t>
  </si>
  <si>
    <t>I6</t>
  </si>
  <si>
    <t>E8</t>
  </si>
  <si>
    <t>I8</t>
  </si>
  <si>
    <t>E10</t>
  </si>
  <si>
    <t>E12</t>
  </si>
  <si>
    <t>I12</t>
  </si>
  <si>
    <t>K12</t>
  </si>
  <si>
    <t>D14</t>
  </si>
  <si>
    <t>Ornare Company</t>
  </si>
  <si>
    <t>Lead</t>
  </si>
  <si>
    <t>Customer</t>
  </si>
  <si>
    <t>Prospect</t>
  </si>
  <si>
    <t>tempor.lorem@dictum.org</t>
  </si>
  <si>
    <t>ante.blandit@id.com</t>
  </si>
  <si>
    <t>vitae@viverraDonectempus.ca</t>
  </si>
  <si>
    <t>leo.elementum@metus.co.uk</t>
  </si>
  <si>
    <t>blandit.Nam@adipiscinglacus.net</t>
  </si>
  <si>
    <t>ante.Vivamus@Donecnibhenim.edu</t>
  </si>
  <si>
    <t>erat.Sed@Curabiturvel.net</t>
  </si>
  <si>
    <t>vehicula@felis.edu</t>
  </si>
  <si>
    <t>aliquam.arcu@eteuismodet.org</t>
  </si>
  <si>
    <t>dui.semper.et@Nullam.edu</t>
  </si>
  <si>
    <t>non@pharetranibhAliquam.org</t>
  </si>
  <si>
    <t>mauris.rhoncus@leo.com</t>
  </si>
  <si>
    <t>mi.Duis@feugiat.co.uk</t>
  </si>
  <si>
    <t>quis@consectetuer.org</t>
  </si>
  <si>
    <t>sem@loremeu.co.uk</t>
  </si>
  <si>
    <t>netus@Suspendisse.co.uk</t>
  </si>
  <si>
    <t>auctor.velit@eleifend.co.uk</t>
  </si>
  <si>
    <t>.lobortis@liberoduinec.edu</t>
  </si>
  <si>
    <t>risus.In@parturientmontes.edu</t>
  </si>
  <si>
    <t>Nullam.lobortis@quamafelis.edu</t>
  </si>
  <si>
    <t>dictuu@maurissagittisplacerat.edu</t>
  </si>
  <si>
    <t>Active</t>
  </si>
  <si>
    <t>Inactive</t>
  </si>
  <si>
    <t>www.Google.com</t>
  </si>
  <si>
    <t>P.O. Box 148, 1324 Iaculis Av.</t>
  </si>
  <si>
    <t>P.O. Box 257, 6235 Pharetra, Rd.</t>
  </si>
  <si>
    <t>2646 Eu Rd.</t>
  </si>
  <si>
    <t>106-1114 Interdum. Road</t>
  </si>
  <si>
    <t>662-4582 Porttitor Rd.</t>
  </si>
  <si>
    <t>Ap #577-7501 Purus, Street</t>
  </si>
  <si>
    <t>P.O. Box 421, 5390 Ultrices Rd.</t>
  </si>
  <si>
    <t>560-6072 Luctus, St.</t>
  </si>
  <si>
    <t>P.O. Box 945, 3675 Ullamcorper Street</t>
  </si>
  <si>
    <t>593-4880 Vitae St.</t>
  </si>
  <si>
    <t>Ap #556-4411 Rutrum Street</t>
  </si>
  <si>
    <t>438-5218 Suspendisse Rd.</t>
  </si>
  <si>
    <t>1016 Convallis Rd.</t>
  </si>
  <si>
    <t>6437 Mi Avenue</t>
  </si>
  <si>
    <t>Ap #785-6421 Nulla Rd.</t>
  </si>
  <si>
    <t>Ap #989-7612 A Avenue</t>
  </si>
  <si>
    <t>3365 Fermentum St.</t>
  </si>
  <si>
    <t>Ap #957-6656 Sed Rd.</t>
  </si>
  <si>
    <t>Ap #937-7448 Duis Street</t>
  </si>
  <si>
    <t>4697 Nibh. Street</t>
  </si>
  <si>
    <t>Ap #191-923 Vitae Ave</t>
  </si>
  <si>
    <t>Gillette</t>
  </si>
  <si>
    <t>Warren</t>
  </si>
  <si>
    <t>Wyoming</t>
  </si>
  <si>
    <t>Indianapolis</t>
  </si>
  <si>
    <t>South Bend</t>
  </si>
  <si>
    <t>Oklahoma City</t>
  </si>
  <si>
    <t>San Francisco</t>
  </si>
  <si>
    <t>Pittsburgh</t>
  </si>
  <si>
    <t>Frederick</t>
  </si>
  <si>
    <t>College</t>
  </si>
  <si>
    <t>Racine</t>
  </si>
  <si>
    <t>Shreveport</t>
  </si>
  <si>
    <t>Sioux City</t>
  </si>
  <si>
    <t>Grand Island</t>
  </si>
  <si>
    <t>Boise</t>
  </si>
  <si>
    <t>Boston</t>
  </si>
  <si>
    <t>Kenosha</t>
  </si>
  <si>
    <t>Bear</t>
  </si>
  <si>
    <t>WY</t>
  </si>
  <si>
    <t>MI</t>
  </si>
  <si>
    <t>IN</t>
  </si>
  <si>
    <t>Oklahoma</t>
  </si>
  <si>
    <t>CA</t>
  </si>
  <si>
    <t>PA</t>
  </si>
  <si>
    <t>Maryland</t>
  </si>
  <si>
    <t>Alaska</t>
  </si>
  <si>
    <t>Alabama</t>
  </si>
  <si>
    <t>Wisconsin</t>
  </si>
  <si>
    <t>Louisiana</t>
  </si>
  <si>
    <t>IA</t>
  </si>
  <si>
    <t>Nebraska</t>
  </si>
  <si>
    <t>ID</t>
  </si>
  <si>
    <t>Massachusetts</t>
  </si>
  <si>
    <t>WI</t>
  </si>
  <si>
    <t>DE</t>
  </si>
  <si>
    <t>Biloxi</t>
  </si>
  <si>
    <t>Mississippi</t>
  </si>
  <si>
    <t>Gresham</t>
  </si>
  <si>
    <t>OR</t>
  </si>
  <si>
    <t>luctus sit amet, faucibus ut, nulla. Cras eu tellus eu</t>
  </si>
  <si>
    <t>mauris sit amet lorem semper auctor. Mauris vel turpis. Aliquam</t>
  </si>
  <si>
    <t>eu turpis. Nulla aliquet. Proin velit. Sed malesuada augue ut</t>
  </si>
  <si>
    <t>dictum placerat, augue. Sed molestie. Sed id risus quis diam</t>
  </si>
  <si>
    <t>Quisque ac libero nec ligula consectetuer rhoncus. Nullam velit dui,</t>
  </si>
  <si>
    <t>mauris a nunc. In at pede. Cras vulputate velit eu</t>
  </si>
  <si>
    <t>ultricies adipiscing, enim mi tempor lorem, eget mollis lectus pede</t>
  </si>
  <si>
    <t>augue id ante dictum cursus. Nunc mauris elit, dictum eu,</t>
  </si>
  <si>
    <t>posuere, enim nisl elementum purus, accumsan interdum libero dui nec</t>
  </si>
  <si>
    <t>In mi pede, nonummy ut, molestie in, tempus eu, ligula.</t>
  </si>
  <si>
    <t>nunc sit amet metus. Aliquam erat volutpat. Nulla facilisis. Suspendisse</t>
  </si>
  <si>
    <t>lorem, sit amet ultricies sem magna nec quam. Curabitur vel</t>
  </si>
  <si>
    <t>rutrum urna, nec luctus felis purus ac tellus. Suspendisse sed</t>
  </si>
  <si>
    <t>ut lacus. Nulla tincidunt, neque vitae semper egestas, urna justo</t>
  </si>
  <si>
    <t>massa lobortis ultrices. Vivamus rhoncus. Donec est. Nunc ullamcorper, velit</t>
  </si>
  <si>
    <t>amet ultricies sem magna nec quam. Curabitur vel lectus. Cum</t>
  </si>
  <si>
    <t>arcu iaculis enim, sit amet ornare lectus justo eu arcu.</t>
  </si>
  <si>
    <t>mi, ac mattis velit justo nec ante. Maecenas mi felis,</t>
  </si>
  <si>
    <t>diam nunc, ullamcorper eu, euismod ac, fermentum vel, mauris. Integer</t>
  </si>
  <si>
    <t>ligula. Nullam enim. Sed nulla ante, iaculis nec, eleifend non,</t>
  </si>
  <si>
    <t>enim. Sed nulla ante, iaculis nec, eleifend non, dapibus rutrum,</t>
  </si>
  <si>
    <t xml:space="preserve">  </t>
  </si>
  <si>
    <t>Cust. ID</t>
  </si>
  <si>
    <t>Row</t>
  </si>
  <si>
    <t>Results</t>
  </si>
  <si>
    <t>Criteria</t>
  </si>
  <si>
    <t>Cust New</t>
  </si>
  <si>
    <t>Cust Row</t>
  </si>
  <si>
    <t>Next ID</t>
  </si>
  <si>
    <t>Srch Cust Row</t>
  </si>
  <si>
    <t>Closed</t>
  </si>
  <si>
    <t>Paid</t>
  </si>
  <si>
    <t>Voided</t>
  </si>
  <si>
    <t>Sel Cont</t>
  </si>
  <si>
    <t>N4</t>
  </si>
  <si>
    <t>N6</t>
  </si>
  <si>
    <t>N8</t>
  </si>
  <si>
    <t>N10</t>
  </si>
  <si>
    <t>N12</t>
  </si>
  <si>
    <t>David</t>
  </si>
  <si>
    <t>David@Davis</t>
  </si>
  <si>
    <t>Davidson</t>
  </si>
  <si>
    <t>INVOICES</t>
  </si>
  <si>
    <t>WORK ORDERS</t>
  </si>
  <si>
    <t>CUSTOMER CONTACTS</t>
  </si>
  <si>
    <t>CONTACT LIST</t>
  </si>
  <si>
    <t>Load Cust</t>
  </si>
  <si>
    <t>Cont Load</t>
  </si>
  <si>
    <t>Rhiannon@Google.com</t>
  </si>
  <si>
    <t>Dexter@Google.com</t>
  </si>
  <si>
    <t>Merritt@Google.com</t>
  </si>
  <si>
    <t>Jimmy</t>
  </si>
  <si>
    <t>Buffet</t>
  </si>
  <si>
    <t>Fred@Fred.com</t>
  </si>
  <si>
    <t>Amy</t>
  </si>
  <si>
    <t>Smith</t>
  </si>
  <si>
    <t>test@test</t>
  </si>
  <si>
    <t>Cortes</t>
  </si>
  <si>
    <t>SKMP CUSTOMER MANAGEMENT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</si>
</sst>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[&lt;=9999999]###\-####;\(###\)\ ###\-####"/>
  </numFmts>
  <fonts count="14">
    <font>
      <sz val="11"/>
      <color theme="1"/>
      <name val="Constantia"/>
      <family val="2"/>
      <scheme val="minor"/>
    </font>
    <font>
      <sz val="11"/>
      <color theme="1"/>
      <name val="Constantia"/>
      <family val="2"/>
      <scheme val="minor"/>
    </font>
    <font>
      <b/>
      <sz val="11"/>
      <color theme="1"/>
      <name val="Constantia"/>
      <family val="2"/>
      <scheme val="minor"/>
    </font>
    <font>
      <sz val="14"/>
      <color theme="1"/>
      <name val="Constantia"/>
      <family val="2"/>
      <scheme val="minor"/>
    </font>
    <font>
      <u/>
      <sz val="11"/>
      <name val="Constantia"/>
      <family val="2"/>
      <scheme val="minor"/>
    </font>
    <font>
      <u/>
      <sz val="11"/>
      <color theme="11"/>
      <name val="Constantia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name val="Calibri"/>
      <family val="2"/>
    </font>
    <font>
      <b/>
      <sz val="12"/>
      <color theme="1"/>
      <name val="Constantia"/>
      <family val="2"/>
      <scheme val="minor"/>
    </font>
    <font>
      <sz val="20"/>
      <color theme="1"/>
      <name val="Arial Rounded MT Bold"/>
      <family val="2"/>
    </font>
    <font>
      <u/>
      <sz val="11"/>
      <color theme="10"/>
      <name val="Constantia"/>
      <family val="2"/>
      <scheme val="minor"/>
    </font>
    <font>
      <sz val="11"/>
      <color theme="6" tint="0.79998168889431442"/>
      <name val="Constantia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7" tint="0.40000610370189521"/>
        </stop>
        <stop position="1">
          <color theme="7" tint="0.59999389629810485"/>
        </stop>
      </gradientFill>
    </fill>
    <fill>
      <gradientFill degree="90">
        <stop position="0">
          <color theme="7" tint="0.59999389629810485"/>
        </stop>
        <stop position="1">
          <color theme="7" tint="0.80001220740379042"/>
        </stop>
      </gradient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6" tint="-0.24994659260841701"/>
      </left>
      <right style="hair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hair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 style="thin">
        <color theme="6" tint="-0.24994659260841701"/>
      </bottom>
      <diagonal/>
    </border>
    <border>
      <left/>
      <right style="hair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/>
      <right/>
      <top style="thin">
        <color theme="6" tint="-0.24994659260841701"/>
      </top>
      <bottom style="thin">
        <color theme="6" tint="-0.24994659260841701"/>
      </bottom>
      <diagonal/>
    </border>
    <border>
      <left style="hair">
        <color theme="6" tint="-0.24994659260841701"/>
      </left>
      <right/>
      <top style="thin">
        <color theme="6" tint="-0.24994659260841701"/>
      </top>
      <bottom style="thin">
        <color theme="6" tint="-0.24994659260841701"/>
      </bottom>
      <diagonal/>
    </border>
    <border>
      <left/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/>
      <right/>
      <top style="thin">
        <color theme="6" tint="-0.24994659260841701"/>
      </top>
      <bottom/>
      <diagonal/>
    </border>
    <border>
      <left style="thin">
        <color rgb="FF0070C0"/>
      </left>
      <right style="hair">
        <color rgb="FF0070C0"/>
      </right>
      <top/>
      <bottom/>
      <diagonal/>
    </border>
    <border>
      <left style="thin">
        <color rgb="FF0070C0"/>
      </left>
      <right style="hair">
        <color rgb="FF0070C0"/>
      </right>
      <top/>
      <bottom style="thin">
        <color rgb="FF0070C0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/>
      <right/>
      <top/>
      <bottom style="thin">
        <color theme="5" tint="-0.499984740745262"/>
      </bottom>
      <diagonal/>
    </border>
    <border>
      <left style="thin">
        <color theme="5" tint="-0.499984740745262"/>
      </left>
      <right style="thin">
        <color theme="5" tint="-0.499984740745262"/>
      </right>
      <top/>
      <bottom style="thin">
        <color theme="5" tint="-0.499984740745262"/>
      </bottom>
      <diagonal/>
    </border>
    <border>
      <left style="hair">
        <color rgb="FF0070C0"/>
      </left>
      <right style="thin">
        <color rgb="FF0070C0"/>
      </right>
      <top/>
      <bottom/>
      <diagonal/>
    </border>
    <border>
      <left style="hair">
        <color rgb="FF0070C0"/>
      </left>
      <right style="thin">
        <color rgb="FF0070C0"/>
      </right>
      <top/>
      <bottom style="thin">
        <color rgb="FF0070C0"/>
      </bottom>
      <diagonal/>
    </border>
    <border>
      <left style="hair">
        <color rgb="FF0070C0"/>
      </left>
      <right style="hair">
        <color rgb="FF0070C0"/>
      </right>
      <top/>
      <bottom/>
      <diagonal/>
    </border>
    <border>
      <left style="hair">
        <color rgb="FF0070C0"/>
      </left>
      <right style="hair">
        <color rgb="FF0070C0"/>
      </right>
      <top/>
      <bottom style="thin">
        <color rgb="FF0070C0"/>
      </bottom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81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4" borderId="0" xfId="0" applyFill="1"/>
    <xf numFmtId="0" fontId="0" fillId="5" borderId="0" xfId="0" applyFill="1"/>
    <xf numFmtId="0" fontId="0" fillId="7" borderId="0" xfId="0" applyFill="1"/>
    <xf numFmtId="0" fontId="0" fillId="7" borderId="0" xfId="0" applyFill="1" applyAlignment="1">
      <alignment horizontal="right"/>
    </xf>
    <xf numFmtId="0" fontId="0" fillId="7" borderId="0" xfId="0" applyFill="1" applyAlignment="1">
      <alignment horizontal="left"/>
    </xf>
    <xf numFmtId="0" fontId="0" fillId="7" borderId="3" xfId="0" applyFill="1" applyBorder="1" applyAlignment="1">
      <alignment horizontal="right"/>
    </xf>
    <xf numFmtId="0" fontId="0" fillId="8" borderId="4" xfId="0" applyFill="1" applyBorder="1"/>
    <xf numFmtId="0" fontId="0" fillId="5" borderId="11" xfId="0" applyFill="1" applyBorder="1" applyAlignment="1">
      <alignment horizontal="center"/>
    </xf>
    <xf numFmtId="0" fontId="0" fillId="7" borderId="14" xfId="0" applyFill="1" applyBorder="1"/>
    <xf numFmtId="0" fontId="0" fillId="7" borderId="10" xfId="0" applyFill="1" applyBorder="1"/>
    <xf numFmtId="0" fontId="0" fillId="5" borderId="14" xfId="0" applyFill="1" applyBorder="1"/>
    <xf numFmtId="0" fontId="0" fillId="5" borderId="10" xfId="0" applyFill="1" applyBorder="1"/>
    <xf numFmtId="0" fontId="0" fillId="3" borderId="0" xfId="0" applyFill="1" applyAlignment="1">
      <alignment horizontal="center"/>
    </xf>
    <xf numFmtId="0" fontId="8" fillId="0" borderId="0" xfId="0" applyFont="1"/>
    <xf numFmtId="0" fontId="4" fillId="0" borderId="0" xfId="2" applyFont="1"/>
    <xf numFmtId="0" fontId="7" fillId="10" borderId="15" xfId="0" applyFont="1" applyFill="1" applyBorder="1" applyAlignment="1">
      <alignment horizontal="center"/>
    </xf>
    <xf numFmtId="0" fontId="9" fillId="0" borderId="0" xfId="2" applyFont="1"/>
    <xf numFmtId="0" fontId="8" fillId="0" borderId="0" xfId="0" applyFont="1" applyAlignment="1">
      <alignment horizontal="center"/>
    </xf>
    <xf numFmtId="0" fontId="0" fillId="8" borderId="17" xfId="0" applyFill="1" applyBorder="1"/>
    <xf numFmtId="0" fontId="0" fillId="8" borderId="18" xfId="0" applyFill="1" applyBorder="1"/>
    <xf numFmtId="0" fontId="7" fillId="12" borderId="19" xfId="0" applyFont="1" applyFill="1" applyBorder="1" applyAlignment="1">
      <alignment horizontal="center"/>
    </xf>
    <xf numFmtId="0" fontId="8" fillId="14" borderId="0" xfId="0" applyFont="1" applyFill="1" applyAlignment="1">
      <alignment horizontal="center"/>
    </xf>
    <xf numFmtId="0" fontId="10" fillId="13" borderId="0" xfId="0" applyFont="1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17" borderId="1" xfId="0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10" fillId="18" borderId="0" xfId="0" applyFont="1" applyFill="1" applyAlignment="1">
      <alignment horizontal="center"/>
    </xf>
    <xf numFmtId="0" fontId="0" fillId="15" borderId="1" xfId="0" applyFill="1" applyBorder="1"/>
    <xf numFmtId="0" fontId="10" fillId="16" borderId="0" xfId="0" applyFont="1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6" borderId="1" xfId="0" applyFill="1" applyBorder="1"/>
    <xf numFmtId="0" fontId="0" fillId="8" borderId="9" xfId="0" applyFill="1" applyBorder="1" applyAlignment="1">
      <alignment horizontal="left"/>
    </xf>
    <xf numFmtId="0" fontId="0" fillId="8" borderId="7" xfId="0" applyFill="1" applyBorder="1"/>
    <xf numFmtId="0" fontId="0" fillId="8" borderId="22" xfId="0" applyFill="1" applyBorder="1"/>
    <xf numFmtId="0" fontId="0" fillId="8" borderId="23" xfId="0" applyFill="1" applyBorder="1"/>
    <xf numFmtId="0" fontId="0" fillId="8" borderId="24" xfId="0" applyFill="1" applyBorder="1"/>
    <xf numFmtId="0" fontId="0" fillId="8" borderId="25" xfId="0" applyFill="1" applyBorder="1"/>
    <xf numFmtId="0" fontId="0" fillId="6" borderId="1" xfId="0" applyFill="1" applyBorder="1" applyAlignment="1">
      <alignment horizontal="left"/>
    </xf>
    <xf numFmtId="164" fontId="0" fillId="8" borderId="7" xfId="0" applyNumberFormat="1" applyFill="1" applyBorder="1"/>
    <xf numFmtId="164" fontId="0" fillId="8" borderId="9" xfId="0" applyNumberFormat="1" applyFill="1" applyBorder="1"/>
    <xf numFmtId="0" fontId="0" fillId="15" borderId="0" xfId="0" applyFill="1" applyAlignment="1">
      <alignment horizontal="center"/>
    </xf>
    <xf numFmtId="14" fontId="0" fillId="8" borderId="17" xfId="0" applyNumberFormat="1" applyFill="1" applyBorder="1"/>
    <xf numFmtId="44" fontId="0" fillId="8" borderId="22" xfId="1" applyFont="1" applyFill="1" applyBorder="1"/>
    <xf numFmtId="44" fontId="0" fillId="8" borderId="23" xfId="1" applyFont="1" applyFill="1" applyBorder="1"/>
    <xf numFmtId="0" fontId="0" fillId="8" borderId="24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7" borderId="0" xfId="0" applyFill="1" applyAlignment="1">
      <alignment horizontal="center"/>
    </xf>
    <xf numFmtId="164" fontId="0" fillId="8" borderId="4" xfId="0" applyNumberFormat="1" applyFill="1" applyBorder="1" applyAlignment="1">
      <alignment horizontal="left"/>
    </xf>
    <xf numFmtId="0" fontId="12" fillId="8" borderId="4" xfId="3" applyFill="1" applyBorder="1"/>
    <xf numFmtId="0" fontId="13" fillId="7" borderId="0" xfId="0" applyFont="1" applyFill="1" applyAlignment="1">
      <alignment horizontal="left"/>
    </xf>
    <xf numFmtId="0" fontId="13" fillId="7" borderId="0" xfId="0" applyFont="1" applyFill="1"/>
    <xf numFmtId="0" fontId="13" fillId="7" borderId="0" xfId="0" applyFont="1" applyFill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0" fillId="8" borderId="12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0" xfId="0" applyFill="1" applyBorder="1" applyAlignment="1">
      <alignment horizontal="left" vertical="top"/>
    </xf>
    <xf numFmtId="0" fontId="0" fillId="8" borderId="26" xfId="0" applyFill="1" applyBorder="1" applyAlignment="1">
      <alignment horizontal="left" vertical="top"/>
    </xf>
    <xf numFmtId="0" fontId="0" fillId="8" borderId="27" xfId="0" applyFill="1" applyBorder="1" applyAlignment="1">
      <alignment horizontal="left" vertical="top"/>
    </xf>
    <xf numFmtId="0" fontId="0" fillId="8" borderId="28" xfId="0" applyFill="1" applyBorder="1" applyAlignment="1">
      <alignment horizontal="left" vertical="top"/>
    </xf>
    <xf numFmtId="0" fontId="0" fillId="8" borderId="8" xfId="0" applyFill="1" applyBorder="1" applyAlignment="1">
      <alignment horizontal="left"/>
    </xf>
    <xf numFmtId="0" fontId="0" fillId="8" borderId="7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11" fillId="4" borderId="0" xfId="0" applyFont="1" applyFill="1" applyAlignment="1">
      <alignment horizontal="center"/>
    </xf>
    <xf numFmtId="0" fontId="0" fillId="5" borderId="5" xfId="0" applyFill="1" applyBorder="1" applyAlignment="1">
      <alignment horizontal="right"/>
    </xf>
    <xf numFmtId="0" fontId="0" fillId="5" borderId="6" xfId="0" applyFill="1" applyBorder="1" applyAlignment="1">
      <alignment horizontal="right"/>
    </xf>
    <xf numFmtId="0" fontId="6" fillId="9" borderId="15" xfId="0" applyFont="1" applyFill="1" applyBorder="1" applyAlignment="1">
      <alignment horizontal="center"/>
    </xf>
    <xf numFmtId="0" fontId="6" fillId="11" borderId="21" xfId="0" applyFont="1" applyFill="1" applyBorder="1" applyAlignment="1">
      <alignment horizontal="center"/>
    </xf>
    <xf numFmtId="0" fontId="10" fillId="13" borderId="20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10" fillId="16" borderId="2" xfId="0" applyFont="1" applyFill="1" applyBorder="1" applyAlignment="1">
      <alignment horizontal="center"/>
    </xf>
    <xf numFmtId="0" fontId="3" fillId="18" borderId="1" xfId="0" applyFont="1" applyFill="1" applyBorder="1" applyAlignment="1">
      <alignment horizontal="center"/>
    </xf>
    <xf numFmtId="0" fontId="10" fillId="18" borderId="2" xfId="0" applyFont="1" applyFill="1" applyBorder="1" applyAlignment="1">
      <alignment horizontal="center"/>
    </xf>
  </cellXfs>
  <cellStyles count="4">
    <cellStyle name="Currency" xfId="1" builtinId="4"/>
    <cellStyle name="Followed Hyperlink" xfId="2" builtinId="9"/>
    <cellStyle name="Hyperlink" xfId="3" builtinId="8"/>
    <cellStyle name="Normal" xfId="0" builtinId="0"/>
  </cellStyles>
  <dxfs count="5">
    <dxf>
      <fill>
        <patternFill>
          <bgColor theme="9" tint="0.79998168889431442"/>
        </patternFill>
      </fill>
    </dxf>
    <dxf>
      <fill>
        <patternFill>
          <bgColor rgb="FFFEEFE6"/>
        </patternFill>
      </fill>
    </dxf>
    <dxf>
      <fill>
        <patternFill>
          <bgColor rgb="FFF0F4E8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D6F3FE"/>
        </patternFill>
      </fill>
    </dxf>
  </dxfs>
  <tableStyles count="0" defaultTableStyle="TableStyleMedium2" defaultPivotStyle="PivotStyleLight16"/>
  <colors>
    <mruColors>
      <color rgb="FFD6F3FE"/>
      <color rgb="FFFEEFE6"/>
      <color rgb="FFF0F4E8"/>
      <color rgb="FFDAF4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jpe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581024</xdr:colOff>
      <xdr:row>12</xdr:row>
      <xdr:rowOff>19050</xdr:rowOff>
    </xdr:from>
    <xdr:to>
      <xdr:col>13</xdr:col>
      <xdr:colOff>697229</xdr:colOff>
      <xdr:row>12</xdr:row>
      <xdr:rowOff>228600</xdr:rowOff>
    </xdr:to>
    <xdr:grpSp>
      <xdr:nvGrpSpPr>
        <xdr:cNvPr id="21" name="SaveContBtn" hidden="1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8477249" y="2076450"/>
          <a:ext cx="1154430" cy="209550"/>
          <a:chOff x="8943974" y="2428875"/>
          <a:chExt cx="1097280" cy="209550"/>
        </a:xfrm>
      </xdr:grpSpPr>
      <xdr:sp macro="[0]!Contact_SaveNew" textlink="">
        <xdr:nvSpPr>
          <xdr:cNvPr id="5" name="Rounded Rectangle 4" hidden="1">
            <a:extLst>
              <a:ext uri="{FF2B5EF4-FFF2-40B4-BE49-F238E27FC236}">
                <a16:creationId xmlns=""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8943974" y="2428875"/>
            <a:ext cx="1097280" cy="209550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lIns="0" tIns="0" rIns="27432" bIns="0" rtlCol="0" anchor="ctr"/>
          <a:lstStyle/>
          <a:p>
            <a:pPr algn="r"/>
            <a:r>
              <a:rPr lang="en-US" sz="1100"/>
              <a:t>Save</a:t>
            </a:r>
            <a:r>
              <a:rPr lang="en-US" sz="1100" baseline="0"/>
              <a:t> Contact</a:t>
            </a:r>
            <a:endParaRPr lang="en-US" sz="1100"/>
          </a:p>
        </xdr:txBody>
      </xdr:sp>
      <xdr:pic macro="[0]!Contact_SaveNew">
        <xdr:nvPicPr>
          <xdr:cNvPr id="18" name="Picture 17" hidden="1">
            <a:extLst>
              <a:ext uri="{FF2B5EF4-FFF2-40B4-BE49-F238E27FC236}">
                <a16:creationId xmlns=""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=""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77275" y="2433600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676274</xdr:colOff>
      <xdr:row>0</xdr:row>
      <xdr:rowOff>357186</xdr:rowOff>
    </xdr:from>
    <xdr:to>
      <xdr:col>10</xdr:col>
      <xdr:colOff>647700</xdr:colOff>
      <xdr:row>2</xdr:row>
      <xdr:rowOff>33336</xdr:rowOff>
    </xdr:to>
    <xdr:grpSp>
      <xdr:nvGrpSpPr>
        <xdr:cNvPr id="29" name="NewCustGrp" hidden="1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4886324" y="357186"/>
          <a:ext cx="2314576" cy="228600"/>
          <a:chOff x="5181599" y="804861"/>
          <a:chExt cx="2314576" cy="228600"/>
        </a:xfrm>
      </xdr:grpSpPr>
      <xdr:grpSp>
        <xdr:nvGrpSpPr>
          <xdr:cNvPr id="24" name="Group 23" hidden="1">
            <a:extLst>
              <a:ext uri="{FF2B5EF4-FFF2-40B4-BE49-F238E27FC236}">
                <a16:creationId xmlns=""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6419849" y="804861"/>
            <a:ext cx="1076326" cy="228600"/>
            <a:chOff x="6419849" y="804861"/>
            <a:chExt cx="1076326" cy="228600"/>
          </a:xfrm>
        </xdr:grpSpPr>
        <xdr:sp macro="[0]!Customer_CancelNew" textlink="">
          <xdr:nvSpPr>
            <xdr:cNvPr id="10" name="Rounded Rectangle 9" hidden="1">
              <a:extLst>
                <a:ext uri="{FF2B5EF4-FFF2-40B4-BE49-F238E27FC236}">
                  <a16:creationId xmlns=""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6419849" y="804861"/>
              <a:ext cx="1076326" cy="228600"/>
            </a:xfrm>
            <a:prstGeom prst="roundRect">
              <a:avLst/>
            </a:prstGeom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lIns="0" tIns="0" rIns="27432" bIns="0" rtlCol="0" anchor="ctr"/>
            <a:lstStyle/>
            <a:p>
              <a:pPr algn="r"/>
              <a:r>
                <a:rPr lang="en-US" sz="1100"/>
                <a:t>Cancel </a:t>
              </a:r>
              <a:r>
                <a:rPr lang="en-US" sz="1100" baseline="0"/>
                <a:t> New</a:t>
              </a:r>
              <a:endParaRPr lang="en-US" sz="1100"/>
            </a:p>
          </xdr:txBody>
        </xdr:sp>
        <xdr:pic macro="[0]!Customer_CancelNew">
          <xdr:nvPicPr>
            <xdr:cNvPr id="13" name="Picture 12" hidden="1">
              <a:extLst>
                <a:ext uri="{FF2B5EF4-FFF2-40B4-BE49-F238E27FC236}">
                  <a16:creationId xmlns="" xmlns:a16="http://schemas.microsoft.com/office/drawing/2014/main" id="{00000000-0008-0000-0000-00000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=""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5075" y="827721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23" name="Group 22" hidden="1">
            <a:extLst>
              <a:ext uri="{FF2B5EF4-FFF2-40B4-BE49-F238E27FC236}">
                <a16:creationId xmlns="" xmlns:a16="http://schemas.microsoft.com/office/drawing/2014/main" id="{00000000-0008-0000-0000-000017000000}"/>
              </a:ext>
            </a:extLst>
          </xdr:cNvPr>
          <xdr:cNvGrpSpPr/>
        </xdr:nvGrpSpPr>
        <xdr:grpSpPr>
          <a:xfrm>
            <a:off x="5181599" y="804861"/>
            <a:ext cx="1188720" cy="228600"/>
            <a:chOff x="5181599" y="804861"/>
            <a:chExt cx="1188720" cy="228600"/>
          </a:xfrm>
        </xdr:grpSpPr>
        <xdr:sp macro="[0]!Customer_SaveUpdate" textlink="">
          <xdr:nvSpPr>
            <xdr:cNvPr id="8" name="Rounded Rectangle 7" hidden="1">
              <a:extLst>
                <a:ext uri="{FF2B5EF4-FFF2-40B4-BE49-F238E27FC236}">
                  <a16:creationId xmlns=""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5181599" y="804861"/>
              <a:ext cx="1188720" cy="228600"/>
            </a:xfrm>
            <a:prstGeom prst="roundRect">
              <a:avLst/>
            </a:prstGeom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lIns="0" tIns="0" rIns="27432" bIns="0" rtlCol="0" anchor="ctr"/>
            <a:lstStyle/>
            <a:p>
              <a:pPr algn="r"/>
              <a:r>
                <a:rPr lang="en-US" sz="1100"/>
                <a:t>Save</a:t>
              </a:r>
              <a:r>
                <a:rPr lang="en-US" sz="1100" baseline="0"/>
                <a:t> Customer</a:t>
              </a:r>
              <a:endParaRPr lang="en-US" sz="1100"/>
            </a:p>
          </xdr:txBody>
        </xdr:sp>
        <xdr:pic macro="[0]!Customer_SaveUpdate">
          <xdr:nvPicPr>
            <xdr:cNvPr id="22" name="Picture 21" hidden="1">
              <a:extLst>
                <a:ext uri="{FF2B5EF4-FFF2-40B4-BE49-F238E27FC236}">
                  <a16:creationId xmlns="" xmlns:a16="http://schemas.microsoft.com/office/drawing/2014/main" id="{00000000-0008-0000-0000-00001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=""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214900" y="827721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476250</xdr:colOff>
      <xdr:row>0</xdr:row>
      <xdr:rowOff>110563</xdr:rowOff>
    </xdr:from>
    <xdr:to>
      <xdr:col>4</xdr:col>
      <xdr:colOff>104775</xdr:colOff>
      <xdr:row>0</xdr:row>
      <xdr:rowOff>299012</xdr:rowOff>
    </xdr:to>
    <xdr:pic>
      <xdr:nvPicPr>
        <xdr:cNvPr id="59" name="Picture 58">
          <a:extLst>
            <a:ext uri="{FF2B5EF4-FFF2-40B4-BE49-F238E27FC236}">
              <a16:creationId xmlns=""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933575" y="110563"/>
          <a:ext cx="333375" cy="188449"/>
        </a:xfrm>
        <a:prstGeom prst="rect">
          <a:avLst/>
        </a:prstGeom>
      </xdr:spPr>
    </xdr:pic>
    <xdr:clientData/>
  </xdr:twoCellAnchor>
  <xdr:twoCellAnchor editAs="oneCell">
    <xdr:from>
      <xdr:col>7</xdr:col>
      <xdr:colOff>161924</xdr:colOff>
      <xdr:row>1</xdr:row>
      <xdr:rowOff>14286</xdr:rowOff>
    </xdr:from>
    <xdr:to>
      <xdr:col>12</xdr:col>
      <xdr:colOff>251459</xdr:colOff>
      <xdr:row>2</xdr:row>
      <xdr:rowOff>52386</xdr:rowOff>
    </xdr:to>
    <xdr:grpSp>
      <xdr:nvGrpSpPr>
        <xdr:cNvPr id="60" name="ExistCustGrp">
          <a:extLst>
            <a:ext uri="{FF2B5EF4-FFF2-40B4-BE49-F238E27FC236}">
              <a16:creationId xmlns="" xmlns:a16="http://schemas.microsoft.com/office/drawing/2014/main" id="{00000000-0008-0000-0000-00003C000000}"/>
            </a:ext>
          </a:extLst>
        </xdr:cNvPr>
        <xdr:cNvGrpSpPr/>
      </xdr:nvGrpSpPr>
      <xdr:grpSpPr>
        <a:xfrm>
          <a:off x="4371974" y="376236"/>
          <a:ext cx="3775710" cy="228600"/>
          <a:chOff x="4857749" y="361949"/>
          <a:chExt cx="3775710" cy="228600"/>
        </a:xfrm>
      </xdr:grpSpPr>
      <xdr:grpSp>
        <xdr:nvGrpSpPr>
          <xdr:cNvPr id="61" name="Group 60">
            <a:extLst>
              <a:ext uri="{FF2B5EF4-FFF2-40B4-BE49-F238E27FC236}">
                <a16:creationId xmlns="" xmlns:a16="http://schemas.microsoft.com/office/drawing/2014/main" id="{00000000-0008-0000-0000-00003D000000}"/>
              </a:ext>
            </a:extLst>
          </xdr:cNvPr>
          <xdr:cNvGrpSpPr/>
        </xdr:nvGrpSpPr>
        <xdr:grpSpPr>
          <a:xfrm>
            <a:off x="4857749" y="361949"/>
            <a:ext cx="1076326" cy="228600"/>
            <a:chOff x="4857749" y="361949"/>
            <a:chExt cx="1076326" cy="228600"/>
          </a:xfrm>
        </xdr:grpSpPr>
        <xdr:sp macro="[0]!Customer_AddNew" textlink="">
          <xdr:nvSpPr>
            <xdr:cNvPr id="68" name="Rounded Rectangle 67">
              <a:extLst>
                <a:ext uri="{FF2B5EF4-FFF2-40B4-BE49-F238E27FC236}">
                  <a16:creationId xmlns="" xmlns:a16="http://schemas.microsoft.com/office/drawing/2014/main" id="{00000000-0008-0000-0000-000044000000}"/>
                </a:ext>
              </a:extLst>
            </xdr:cNvPr>
            <xdr:cNvSpPr/>
          </xdr:nvSpPr>
          <xdr:spPr>
            <a:xfrm>
              <a:off x="4857749" y="361949"/>
              <a:ext cx="1076326" cy="228600"/>
            </a:xfrm>
            <a:prstGeom prst="roundRect">
              <a:avLst/>
            </a:prstGeom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lIns="0" tIns="0" rIns="27432" bIns="0" rtlCol="0" anchor="ctr"/>
            <a:lstStyle/>
            <a:p>
              <a:pPr algn="r"/>
              <a:r>
                <a:rPr lang="en-US" sz="1100"/>
                <a:t>Add</a:t>
              </a:r>
              <a:r>
                <a:rPr lang="en-US" sz="1100" baseline="0"/>
                <a:t> Customer</a:t>
              </a:r>
              <a:endParaRPr lang="en-US" sz="1100"/>
            </a:p>
          </xdr:txBody>
        </xdr:sp>
        <xdr:pic macro="[0]!Customer_AddNew">
          <xdr:nvPicPr>
            <xdr:cNvPr id="69" name="Picture 68">
              <a:extLst>
                <a:ext uri="{FF2B5EF4-FFF2-40B4-BE49-F238E27FC236}">
                  <a16:creationId xmlns="" xmlns:a16="http://schemas.microsoft.com/office/drawing/2014/main" id="{00000000-0008-0000-00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=""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857750" y="384809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62" name="Group 61">
            <a:extLst>
              <a:ext uri="{FF2B5EF4-FFF2-40B4-BE49-F238E27FC236}">
                <a16:creationId xmlns="" xmlns:a16="http://schemas.microsoft.com/office/drawing/2014/main" id="{00000000-0008-0000-0000-00003E000000}"/>
              </a:ext>
            </a:extLst>
          </xdr:cNvPr>
          <xdr:cNvGrpSpPr/>
        </xdr:nvGrpSpPr>
        <xdr:grpSpPr>
          <a:xfrm>
            <a:off x="5994463" y="361949"/>
            <a:ext cx="1298448" cy="228600"/>
            <a:chOff x="6029324" y="361949"/>
            <a:chExt cx="1298448" cy="228600"/>
          </a:xfrm>
        </xdr:grpSpPr>
        <xdr:sp macro="[0]!Customer_SaveUpdate" textlink="">
          <xdr:nvSpPr>
            <xdr:cNvPr id="66" name="Rounded Rectangle 65">
              <a:extLst>
                <a:ext uri="{FF2B5EF4-FFF2-40B4-BE49-F238E27FC236}">
                  <a16:creationId xmlns="" xmlns:a16="http://schemas.microsoft.com/office/drawing/2014/main" id="{00000000-0008-0000-0000-000042000000}"/>
                </a:ext>
              </a:extLst>
            </xdr:cNvPr>
            <xdr:cNvSpPr/>
          </xdr:nvSpPr>
          <xdr:spPr>
            <a:xfrm>
              <a:off x="6029324" y="361949"/>
              <a:ext cx="1298448" cy="228600"/>
            </a:xfrm>
            <a:prstGeom prst="roundRect">
              <a:avLst/>
            </a:prstGeom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lIns="0" tIns="0" rIns="27432" bIns="0" rtlCol="0" anchor="ctr"/>
            <a:lstStyle/>
            <a:p>
              <a:pPr algn="r"/>
              <a:r>
                <a:rPr lang="en-US" sz="1100"/>
                <a:t>Update</a:t>
              </a:r>
              <a:r>
                <a:rPr lang="en-US" sz="1100" baseline="0"/>
                <a:t> Customer</a:t>
              </a:r>
              <a:endParaRPr lang="en-US" sz="1100"/>
            </a:p>
          </xdr:txBody>
        </xdr:sp>
        <xdr:pic macro="[0]!Customer_SaveUpdate">
          <xdr:nvPicPr>
            <xdr:cNvPr id="67" name="Picture 66">
              <a:extLst>
                <a:ext uri="{FF2B5EF4-FFF2-40B4-BE49-F238E27FC236}">
                  <a16:creationId xmlns="" xmlns:a16="http://schemas.microsoft.com/office/drawing/2014/main" id="{00000000-0008-0000-0000-00004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=""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043575" y="384809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63" name="Group 62">
            <a:extLst>
              <a:ext uri="{FF2B5EF4-FFF2-40B4-BE49-F238E27FC236}">
                <a16:creationId xmlns=""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7353299" y="361949"/>
            <a:ext cx="1280160" cy="228600"/>
            <a:chOff x="7353299" y="361949"/>
            <a:chExt cx="1280160" cy="228600"/>
          </a:xfrm>
        </xdr:grpSpPr>
        <xdr:sp macro="[0]!Customer_Delete" textlink="">
          <xdr:nvSpPr>
            <xdr:cNvPr id="64" name="Rounded Rectangle 63">
              <a:extLst>
                <a:ext uri="{FF2B5EF4-FFF2-40B4-BE49-F238E27FC236}">
                  <a16:creationId xmlns="" xmlns:a16="http://schemas.microsoft.com/office/drawing/2014/main" id="{00000000-0008-0000-0000-000040000000}"/>
                </a:ext>
              </a:extLst>
            </xdr:cNvPr>
            <xdr:cNvSpPr/>
          </xdr:nvSpPr>
          <xdr:spPr>
            <a:xfrm>
              <a:off x="7353299" y="361949"/>
              <a:ext cx="1280160" cy="228600"/>
            </a:xfrm>
            <a:prstGeom prst="roundRect">
              <a:avLst/>
            </a:prstGeom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lIns="0" tIns="0" rIns="27432" bIns="0" rtlCol="0" anchor="ctr"/>
            <a:lstStyle/>
            <a:p>
              <a:pPr algn="r"/>
              <a:r>
                <a:rPr lang="en-US" sz="1100"/>
                <a:t>Delete </a:t>
              </a:r>
              <a:r>
                <a:rPr lang="en-US" sz="1100" baseline="0"/>
                <a:t>Customer</a:t>
              </a:r>
              <a:endParaRPr lang="en-US" sz="1100"/>
            </a:p>
          </xdr:txBody>
        </xdr:sp>
        <xdr:pic macro="[0]!Customer_Delete">
          <xdr:nvPicPr>
            <xdr:cNvPr id="65" name="Picture 64">
              <a:extLst>
                <a:ext uri="{FF2B5EF4-FFF2-40B4-BE49-F238E27FC236}">
                  <a16:creationId xmlns="" xmlns:a16="http://schemas.microsoft.com/office/drawing/2014/main" id="{00000000-0008-0000-00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=""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384200" y="384809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12</xdr:col>
      <xdr:colOff>9524</xdr:colOff>
      <xdr:row>12</xdr:row>
      <xdr:rowOff>52387</xdr:rowOff>
    </xdr:from>
    <xdr:to>
      <xdr:col>13</xdr:col>
      <xdr:colOff>1160144</xdr:colOff>
      <xdr:row>12</xdr:row>
      <xdr:rowOff>261937</xdr:rowOff>
    </xdr:to>
    <xdr:grpSp>
      <xdr:nvGrpSpPr>
        <xdr:cNvPr id="70" name="ExistContGrp">
          <a:extLst>
            <a:ext uri="{FF2B5EF4-FFF2-40B4-BE49-F238E27FC236}">
              <a16:creationId xmlns="" xmlns:a16="http://schemas.microsoft.com/office/drawing/2014/main" id="{00000000-0008-0000-0000-000046000000}"/>
            </a:ext>
          </a:extLst>
        </xdr:cNvPr>
        <xdr:cNvGrpSpPr/>
      </xdr:nvGrpSpPr>
      <xdr:grpSpPr>
        <a:xfrm>
          <a:off x="7905749" y="2109787"/>
          <a:ext cx="2065020" cy="209550"/>
          <a:chOff x="8963024" y="2147887"/>
          <a:chExt cx="2331720" cy="209550"/>
        </a:xfrm>
      </xdr:grpSpPr>
      <xdr:grpSp>
        <xdr:nvGrpSpPr>
          <xdr:cNvPr id="71" name="AddContactBtn">
            <a:extLst>
              <a:ext uri="{FF2B5EF4-FFF2-40B4-BE49-F238E27FC236}">
                <a16:creationId xmlns="" xmlns:a16="http://schemas.microsoft.com/office/drawing/2014/main" id="{00000000-0008-0000-0000-000047000000}"/>
              </a:ext>
            </a:extLst>
          </xdr:cNvPr>
          <xdr:cNvGrpSpPr/>
        </xdr:nvGrpSpPr>
        <xdr:grpSpPr>
          <a:xfrm>
            <a:off x="8963024" y="2147887"/>
            <a:ext cx="1062990" cy="209550"/>
            <a:chOff x="8953499" y="2152650"/>
            <a:chExt cx="1005840" cy="209550"/>
          </a:xfrm>
        </xdr:grpSpPr>
        <xdr:sp macro="[0]!Contact_AddNew" textlink="">
          <xdr:nvSpPr>
            <xdr:cNvPr id="75" name="Rounded Rectangle 74">
              <a:extLst>
                <a:ext uri="{FF2B5EF4-FFF2-40B4-BE49-F238E27FC236}">
                  <a16:creationId xmlns="" xmlns:a16="http://schemas.microsoft.com/office/drawing/2014/main" id="{00000000-0008-0000-0000-00004B000000}"/>
                </a:ext>
              </a:extLst>
            </xdr:cNvPr>
            <xdr:cNvSpPr/>
          </xdr:nvSpPr>
          <xdr:spPr>
            <a:xfrm>
              <a:off x="8953499" y="2152650"/>
              <a:ext cx="1005840" cy="209550"/>
            </a:xfrm>
            <a:prstGeom prst="roundRect">
              <a:avLst/>
            </a:prstGeom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lIns="0" tIns="0" rIns="27432" bIns="0" rtlCol="0" anchor="ctr"/>
            <a:lstStyle/>
            <a:p>
              <a:pPr algn="r"/>
              <a:r>
                <a:rPr lang="en-US" sz="1100"/>
                <a:t>Add</a:t>
              </a:r>
              <a:r>
                <a:rPr lang="en-US" sz="1100" baseline="0"/>
                <a:t> Contact</a:t>
              </a:r>
              <a:endParaRPr lang="en-US" sz="1100"/>
            </a:p>
          </xdr:txBody>
        </xdr:sp>
        <xdr:pic macro="[0]!Contact_AddNew">
          <xdr:nvPicPr>
            <xdr:cNvPr id="76" name="Picture 75">
              <a:extLst>
                <a:ext uri="{FF2B5EF4-FFF2-40B4-BE49-F238E27FC236}">
                  <a16:creationId xmlns="" xmlns:a16="http://schemas.microsoft.com/office/drawing/2014/main" id="{00000000-0008-0000-00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=""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982075" y="2162175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72" name="DeleteContBtn">
            <a:extLst>
              <a:ext uri="{FF2B5EF4-FFF2-40B4-BE49-F238E27FC236}">
                <a16:creationId xmlns="" xmlns:a16="http://schemas.microsoft.com/office/drawing/2014/main" id="{00000000-0008-0000-0000-000048000000}"/>
              </a:ext>
            </a:extLst>
          </xdr:cNvPr>
          <xdr:cNvGrpSpPr/>
        </xdr:nvGrpSpPr>
        <xdr:grpSpPr>
          <a:xfrm>
            <a:off x="10106024" y="2147887"/>
            <a:ext cx="1188720" cy="209550"/>
            <a:chOff x="10039349" y="2143125"/>
            <a:chExt cx="1188720" cy="209550"/>
          </a:xfrm>
        </xdr:grpSpPr>
        <xdr:sp macro="" textlink="">
          <xdr:nvSpPr>
            <xdr:cNvPr id="73" name="Rounded Rectangle 72">
              <a:extLst>
                <a:ext uri="{FF2B5EF4-FFF2-40B4-BE49-F238E27FC236}">
                  <a16:creationId xmlns="" xmlns:a16="http://schemas.microsoft.com/office/drawing/2014/main" id="{00000000-0008-0000-0000-000049000000}"/>
                </a:ext>
              </a:extLst>
            </xdr:cNvPr>
            <xdr:cNvSpPr/>
          </xdr:nvSpPr>
          <xdr:spPr>
            <a:xfrm>
              <a:off x="10039349" y="2143125"/>
              <a:ext cx="1188720" cy="209550"/>
            </a:xfrm>
            <a:prstGeom prst="roundRect">
              <a:avLst/>
            </a:prstGeom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lIns="0" tIns="0" rIns="27432" bIns="0" rtlCol="0" anchor="ctr"/>
            <a:lstStyle/>
            <a:p>
              <a:pPr algn="r"/>
              <a:r>
                <a:rPr lang="en-US" sz="1100"/>
                <a:t>Delete</a:t>
              </a:r>
              <a:r>
                <a:rPr lang="en-US" sz="1100" baseline="0"/>
                <a:t> Contact</a:t>
              </a:r>
              <a:endParaRPr lang="en-US" sz="1100"/>
            </a:p>
          </xdr:txBody>
        </xdr:sp>
        <xdr:pic>
          <xdr:nvPicPr>
            <xdr:cNvPr id="74" name="Picture 73">
              <a:extLst>
                <a:ext uri="{FF2B5EF4-FFF2-40B4-BE49-F238E27FC236}">
                  <a16:creationId xmlns="" xmlns:a16="http://schemas.microsoft.com/office/drawing/2014/main" id="{00000000-0008-0000-00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=""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094100" y="2150250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10</xdr:col>
      <xdr:colOff>135550</xdr:colOff>
      <xdr:row>0</xdr:row>
      <xdr:rowOff>114300</xdr:rowOff>
    </xdr:from>
    <xdr:to>
      <xdr:col>10</xdr:col>
      <xdr:colOff>445474</xdr:colOff>
      <xdr:row>0</xdr:row>
      <xdr:rowOff>302749</xdr:rowOff>
    </xdr:to>
    <xdr:pic>
      <xdr:nvPicPr>
        <xdr:cNvPr id="37" name="Picture 36">
          <a:extLst>
            <a:ext uri="{FF2B5EF4-FFF2-40B4-BE49-F238E27FC236}">
              <a16:creationId xmlns=""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6688750" y="114300"/>
          <a:ext cx="309924" cy="188449"/>
        </a:xfrm>
        <a:prstGeom prst="rect">
          <a:avLst/>
        </a:prstGeom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Flow">
  <a:themeElements>
    <a:clrScheme name="Flow">
      <a:dk1>
        <a:sysClr val="windowText" lastClr="000000"/>
      </a:dk1>
      <a:lt1>
        <a:sysClr val="window" lastClr="FFFFFF"/>
      </a:lt1>
      <a:dk2>
        <a:srgbClr val="04617B"/>
      </a:dk2>
      <a:lt2>
        <a:srgbClr val="DBF5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E2D700"/>
      </a:hlink>
      <a:folHlink>
        <a:srgbClr val="85DFD0"/>
      </a:folHlink>
    </a:clrScheme>
    <a:fontScheme name="Flow">
      <a:majorFont>
        <a:latin typeface="Calibri"/>
        <a:ea typeface=""/>
        <a:cs typeface=""/>
        <a:font script="Jpan" typeface="ＭＳ Ｐゴシック"/>
        <a:font script="Hang" typeface="HY중고딕"/>
        <a:font script="Hans" typeface="隶书"/>
        <a:font script="Hant" typeface="微軟正黑體"/>
        <a:font script="Arab" typeface="Traditional Arabic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nstantia"/>
        <a:ea typeface=""/>
        <a:cs typeface=""/>
        <a:font script="Jpan" typeface="HGP明朝E"/>
        <a:font script="Hang" typeface="HY신명조"/>
        <a:font script="Hans" typeface="宋体"/>
        <a:font script="Hant" typeface="新細明體"/>
        <a:font script="Arab" typeface="Majalla UI"/>
        <a:font script="Hebr" typeface="David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Flow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30000"/>
              </a:schemeClr>
            </a:gs>
            <a:gs pos="43000">
              <a:schemeClr val="phClr">
                <a:tint val="44000"/>
                <a:satMod val="165000"/>
              </a:schemeClr>
            </a:gs>
            <a:gs pos="93000">
              <a:schemeClr val="phClr">
                <a:tint val="15000"/>
                <a:satMod val="165000"/>
              </a:schemeClr>
            </a:gs>
            <a:gs pos="100000">
              <a:schemeClr val="phClr">
                <a:tint val="5000"/>
                <a:satMod val="250000"/>
              </a:schemeClr>
            </a:gs>
          </a:gsLst>
          <a:path path="circle">
            <a:fillToRect l="50000" t="130000" r="50000" b="-30000"/>
          </a:path>
        </a:gradFill>
        <a:gradFill rotWithShape="1">
          <a:gsLst>
            <a:gs pos="0">
              <a:schemeClr val="phClr">
                <a:tint val="98000"/>
                <a:shade val="25000"/>
                <a:satMod val="250000"/>
              </a:schemeClr>
            </a:gs>
            <a:gs pos="68000">
              <a:schemeClr val="phClr">
                <a:tint val="86000"/>
                <a:satMod val="115000"/>
              </a:schemeClr>
            </a:gs>
            <a:gs pos="100000">
              <a:schemeClr val="phClr">
                <a:tint val="50000"/>
                <a:satMod val="150000"/>
              </a:schemeClr>
            </a:gs>
          </a:gsLst>
          <a:path path="circle">
            <a:fillToRect l="50000" t="130000" r="50000" b="-30000"/>
          </a:path>
        </a:gradFill>
      </a:fillStyleLst>
      <a:lnStyleLst>
        <a:ln w="9525" cap="flat" cmpd="sng" algn="ctr">
          <a:solidFill>
            <a:schemeClr val="phClr">
              <a:shade val="50000"/>
              <a:satMod val="103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  <a:scene3d>
            <a:camera prst="orthographicFront" fov="0">
              <a:rot lat="0" lon="0" rev="0"/>
            </a:camera>
            <a:lightRig rig="glow" dir="tl">
              <a:rot lat="0" lon="0" rev="900000"/>
            </a:lightRig>
          </a:scene3d>
          <a:sp3d prstMaterial="powder">
            <a:bevelT w="25400" h="381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400000"/>
              </a:schemeClr>
            </a:gs>
            <a:gs pos="25000">
              <a:schemeClr val="phClr">
                <a:tint val="83000"/>
                <a:satMod val="320000"/>
              </a:schemeClr>
            </a:gs>
            <a:gs pos="100000">
              <a:schemeClr val="phClr">
                <a:shade val="15000"/>
                <a:satMod val="320000"/>
              </a:schemeClr>
            </a:gs>
          </a:gsLst>
          <a:path path="circle">
            <a:fillToRect l="10000" t="110000" r="10000" b="10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0"/>
                <a:satMod val="150000"/>
              </a:schemeClr>
              <a:schemeClr val="phClr">
                <a:tint val="88000"/>
                <a:satMod val="150000"/>
              </a:schemeClr>
            </a:duotone>
          </a:blip>
          <a:tile tx="0" ty="0" sx="65000" sy="65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risus.In@parturientmontes.edu" TargetMode="External"/><Relationship Id="rId2" Type="http://schemas.openxmlformats.org/officeDocument/2006/relationships/hyperlink" Target="mailto:.lobortis@liberoduinec.edu" TargetMode="External"/><Relationship Id="rId1" Type="http://schemas.openxmlformats.org/officeDocument/2006/relationships/hyperlink" Target="mailto:auctor.velit@eleifend.co.uk" TargetMode="External"/><Relationship Id="rId5" Type="http://schemas.openxmlformats.org/officeDocument/2006/relationships/hyperlink" Target="mailto:dictuu@maurissagittisplacerat.edu" TargetMode="External"/><Relationship Id="rId4" Type="http://schemas.openxmlformats.org/officeDocument/2006/relationships/hyperlink" Target="mailto:Nullam.lobortis@quamafelis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autoPageBreaks="0"/>
  </sheetPr>
  <dimension ref="A1:R31"/>
  <sheetViews>
    <sheetView tabSelected="1" topLeftCell="C1" workbookViewId="0">
      <selection activeCell="P8" sqref="P8"/>
    </sheetView>
  </sheetViews>
  <sheetFormatPr defaultRowHeight="15"/>
  <cols>
    <col min="1" max="1" width="6.875" customWidth="1"/>
    <col min="2" max="2" width="7.125" customWidth="1"/>
    <col min="3" max="3" width="5.125" customWidth="1"/>
    <col min="4" max="4" width="9.25" customWidth="1"/>
    <col min="5" max="5" width="9.75" customWidth="1"/>
    <col min="7" max="7" width="8.125" customWidth="1"/>
    <col min="9" max="9" width="12.75" customWidth="1"/>
    <col min="11" max="11" width="13.625" customWidth="1"/>
    <col min="12" max="12" width="4" customWidth="1"/>
    <col min="13" max="14" width="13.625" customWidth="1"/>
    <col min="15" max="16" width="10.875" customWidth="1"/>
    <col min="20" max="21" width="10"/>
    <col min="22" max="22" width="19.875" customWidth="1"/>
  </cols>
  <sheetData>
    <row r="1" spans="1:18" ht="28.5" customHeight="1">
      <c r="A1" s="34" t="s">
        <v>242</v>
      </c>
      <c r="B1" s="41" t="b">
        <v>0</v>
      </c>
      <c r="C1" s="71" t="s">
        <v>254</v>
      </c>
      <c r="D1" s="71"/>
      <c r="E1" s="71"/>
      <c r="F1" s="71"/>
      <c r="G1" s="71"/>
      <c r="H1" s="71"/>
      <c r="I1" s="71"/>
      <c r="J1" s="71"/>
      <c r="K1" s="71"/>
      <c r="L1" s="71"/>
      <c r="M1" s="3"/>
      <c r="N1" s="3"/>
      <c r="O1" s="3"/>
      <c r="P1" s="3"/>
      <c r="Q1" s="3"/>
      <c r="R1" s="3"/>
    </row>
    <row r="2" spans="1:18">
      <c r="A2" s="34" t="s">
        <v>27</v>
      </c>
      <c r="B2" s="41">
        <v>3</v>
      </c>
      <c r="C2" s="4"/>
      <c r="D2" s="72" t="s">
        <v>24</v>
      </c>
      <c r="E2" s="73"/>
      <c r="F2" s="69" t="s">
        <v>28</v>
      </c>
      <c r="G2" s="70"/>
      <c r="H2" s="4"/>
      <c r="I2" s="4"/>
      <c r="J2" s="4"/>
      <c r="K2" s="4"/>
      <c r="L2" s="4"/>
      <c r="M2" s="56" t="s">
        <v>240</v>
      </c>
      <c r="N2" s="57"/>
      <c r="O2" s="4"/>
      <c r="P2" s="4"/>
      <c r="Q2" s="4"/>
      <c r="R2" s="4"/>
    </row>
    <row r="3" spans="1:18" ht="10.5" customHeight="1">
      <c r="A3" s="34"/>
      <c r="B3" s="41"/>
      <c r="C3" s="5"/>
      <c r="D3" s="5"/>
      <c r="E3" s="5"/>
      <c r="F3" s="5"/>
      <c r="G3" s="5"/>
      <c r="H3" s="5"/>
      <c r="I3" s="5"/>
      <c r="J3" s="5"/>
      <c r="K3" s="5"/>
      <c r="L3" s="5"/>
      <c r="M3" s="13"/>
      <c r="N3" s="14"/>
      <c r="O3" s="5"/>
      <c r="P3" s="5"/>
      <c r="Q3" s="5"/>
      <c r="R3" s="5"/>
    </row>
    <row r="4" spans="1:18">
      <c r="A4" s="34" t="s">
        <v>223</v>
      </c>
      <c r="B4" s="41">
        <f ca="1">IFERROR(MATCH(B2,CustID,0)+3,"")</f>
        <v>4</v>
      </c>
      <c r="C4" s="5"/>
      <c r="D4" s="8" t="s">
        <v>0</v>
      </c>
      <c r="E4" s="68" t="s">
        <v>28</v>
      </c>
      <c r="F4" s="69"/>
      <c r="G4" s="70"/>
      <c r="H4" s="8" t="s">
        <v>1</v>
      </c>
      <c r="I4" s="42">
        <v>3286147299</v>
      </c>
      <c r="J4" s="8" t="s">
        <v>2</v>
      </c>
      <c r="K4" s="43">
        <v>4998430876</v>
      </c>
      <c r="L4" s="5"/>
      <c r="M4" s="8" t="s">
        <v>17</v>
      </c>
      <c r="N4" s="9"/>
      <c r="O4" s="53">
        <v>2</v>
      </c>
      <c r="P4" s="54"/>
      <c r="Q4" s="54"/>
      <c r="R4" s="54"/>
    </row>
    <row r="5" spans="1:18" ht="8.25" customHeight="1">
      <c r="A5" s="34"/>
      <c r="B5" s="41"/>
      <c r="C5" s="5"/>
      <c r="D5" s="6"/>
      <c r="E5" s="5"/>
      <c r="F5" s="5"/>
      <c r="G5" s="5"/>
      <c r="H5" s="6"/>
      <c r="I5" s="5"/>
      <c r="J5" s="5"/>
      <c r="K5" s="5"/>
      <c r="L5" s="5"/>
      <c r="M5" s="11"/>
      <c r="N5" s="12"/>
      <c r="O5" s="53"/>
      <c r="P5" s="54"/>
      <c r="Q5" s="54"/>
      <c r="R5" s="54"/>
    </row>
    <row r="6" spans="1:18">
      <c r="A6" s="34" t="s">
        <v>222</v>
      </c>
      <c r="B6" s="41" t="b">
        <v>1</v>
      </c>
      <c r="C6" s="5"/>
      <c r="D6" s="8" t="s">
        <v>5</v>
      </c>
      <c r="E6" s="68" t="s">
        <v>111</v>
      </c>
      <c r="F6" s="69"/>
      <c r="G6" s="70"/>
      <c r="H6" s="8" t="s">
        <v>4</v>
      </c>
      <c r="I6" s="68" t="s">
        <v>112</v>
      </c>
      <c r="J6" s="69"/>
      <c r="K6" s="70"/>
      <c r="L6" s="5"/>
      <c r="M6" s="8" t="s">
        <v>18</v>
      </c>
      <c r="N6" s="9"/>
      <c r="O6" s="53">
        <v>3</v>
      </c>
      <c r="P6" s="54"/>
      <c r="Q6" s="54"/>
      <c r="R6" s="54"/>
    </row>
    <row r="7" spans="1:18" ht="8.25" customHeight="1">
      <c r="A7" s="34"/>
      <c r="B7" s="41"/>
      <c r="C7" s="5"/>
      <c r="D7" s="6"/>
      <c r="E7" s="5"/>
      <c r="F7" s="5"/>
      <c r="G7" s="5"/>
      <c r="H7" s="6"/>
      <c r="I7" s="5"/>
      <c r="J7" s="5"/>
      <c r="K7" s="5"/>
      <c r="L7" s="5"/>
      <c r="M7" s="11"/>
      <c r="N7" s="12"/>
      <c r="O7" s="53"/>
      <c r="P7" s="54"/>
      <c r="Q7" s="54"/>
      <c r="R7" s="54"/>
    </row>
    <row r="8" spans="1:18">
      <c r="A8" s="34" t="s">
        <v>224</v>
      </c>
      <c r="B8" s="41">
        <f ca="1">IFERROR(MAX(CustID)+1,1)</f>
        <v>24</v>
      </c>
      <c r="C8" s="5"/>
      <c r="D8" s="8" t="s">
        <v>16</v>
      </c>
      <c r="E8" s="68" t="s">
        <v>133</v>
      </c>
      <c r="F8" s="69"/>
      <c r="G8" s="70"/>
      <c r="H8" s="8" t="s">
        <v>3</v>
      </c>
      <c r="I8" s="68" t="s">
        <v>135</v>
      </c>
      <c r="J8" s="69"/>
      <c r="K8" s="70"/>
      <c r="L8" s="5"/>
      <c r="M8" s="8" t="s">
        <v>19</v>
      </c>
      <c r="N8" s="51"/>
      <c r="O8" s="53">
        <v>4</v>
      </c>
      <c r="P8" s="54"/>
      <c r="Q8" s="54"/>
      <c r="R8" s="54"/>
    </row>
    <row r="9" spans="1:18" ht="8.25" customHeight="1">
      <c r="A9" s="34"/>
      <c r="B9" s="41"/>
      <c r="C9" s="5"/>
      <c r="D9" s="6"/>
      <c r="E9" s="5"/>
      <c r="F9" s="5"/>
      <c r="G9" s="5"/>
      <c r="H9" s="5"/>
      <c r="I9" s="5"/>
      <c r="J9" s="5"/>
      <c r="K9" s="5"/>
      <c r="L9" s="5"/>
      <c r="M9" s="11"/>
      <c r="N9" s="12"/>
      <c r="O9" s="53"/>
      <c r="P9" s="54"/>
      <c r="Q9" s="54"/>
      <c r="R9" s="54"/>
    </row>
    <row r="10" spans="1:18">
      <c r="A10" s="34" t="s">
        <v>225</v>
      </c>
      <c r="B10" s="41">
        <f ca="1">IFERROR(MATCH(F2,CustName,0)+3,"")</f>
        <v>4</v>
      </c>
      <c r="C10" s="5"/>
      <c r="D10" s="8" t="s">
        <v>6</v>
      </c>
      <c r="E10" s="68" t="s">
        <v>136</v>
      </c>
      <c r="F10" s="69"/>
      <c r="G10" s="69"/>
      <c r="H10" s="69"/>
      <c r="I10" s="69"/>
      <c r="J10" s="69"/>
      <c r="K10" s="70"/>
      <c r="L10" s="5"/>
      <c r="M10" s="8" t="s">
        <v>20</v>
      </c>
      <c r="N10" s="51"/>
      <c r="O10" s="53">
        <v>5</v>
      </c>
      <c r="P10" s="54"/>
      <c r="Q10" s="54"/>
      <c r="R10" s="54"/>
    </row>
    <row r="11" spans="1:18" ht="8.25" customHeight="1">
      <c r="A11" s="34"/>
      <c r="B11" s="41"/>
      <c r="C11" s="5"/>
      <c r="D11" s="6"/>
      <c r="E11" s="5"/>
      <c r="F11" s="5"/>
      <c r="G11" s="5"/>
      <c r="H11" s="5"/>
      <c r="I11" s="5"/>
      <c r="J11" s="5"/>
      <c r="K11" s="5"/>
      <c r="L11" s="5"/>
      <c r="M11" s="11"/>
      <c r="N11" s="12"/>
      <c r="O11" s="53"/>
      <c r="P11" s="54"/>
      <c r="Q11" s="54"/>
      <c r="R11" s="54"/>
    </row>
    <row r="12" spans="1:18">
      <c r="A12" s="34" t="s">
        <v>229</v>
      </c>
      <c r="B12" s="41"/>
      <c r="C12" s="5"/>
      <c r="D12" s="8" t="s">
        <v>7</v>
      </c>
      <c r="E12" s="68" t="s">
        <v>158</v>
      </c>
      <c r="F12" s="69"/>
      <c r="G12" s="70"/>
      <c r="H12" s="8" t="s">
        <v>8</v>
      </c>
      <c r="I12" s="36" t="s">
        <v>176</v>
      </c>
      <c r="J12" s="8" t="s">
        <v>9</v>
      </c>
      <c r="K12" s="35">
        <v>43119</v>
      </c>
      <c r="L12" s="5"/>
      <c r="M12" s="8" t="s">
        <v>4</v>
      </c>
      <c r="N12" s="52"/>
      <c r="O12" s="53">
        <v>6</v>
      </c>
      <c r="P12" s="54"/>
      <c r="Q12" s="54"/>
      <c r="R12" s="54"/>
    </row>
    <row r="13" spans="1:18" ht="21.75" customHeight="1">
      <c r="A13" s="34" t="s">
        <v>243</v>
      </c>
      <c r="B13" s="41" t="b">
        <v>0</v>
      </c>
      <c r="C13" s="5"/>
      <c r="D13" s="7" t="s">
        <v>10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4"/>
      <c r="P13" s="54"/>
      <c r="Q13" s="54"/>
      <c r="R13" s="54"/>
    </row>
    <row r="14" spans="1:18">
      <c r="A14" s="1"/>
      <c r="B14" s="1"/>
      <c r="C14" s="5"/>
      <c r="D14" s="59" t="s">
        <v>196</v>
      </c>
      <c r="E14" s="60"/>
      <c r="F14" s="60"/>
      <c r="G14" s="60"/>
      <c r="H14" s="60"/>
      <c r="I14" s="60"/>
      <c r="J14" s="60"/>
      <c r="K14" s="61"/>
      <c r="L14" s="5"/>
      <c r="M14" s="58" t="s">
        <v>241</v>
      </c>
      <c r="N14" s="58"/>
      <c r="O14" s="54"/>
      <c r="P14" s="54"/>
      <c r="Q14" s="54"/>
      <c r="R14" s="54"/>
    </row>
    <row r="15" spans="1:18">
      <c r="A15" s="1"/>
      <c r="B15" s="1"/>
      <c r="C15" s="5"/>
      <c r="D15" s="62"/>
      <c r="E15" s="63"/>
      <c r="F15" s="63"/>
      <c r="G15" s="63"/>
      <c r="H15" s="63"/>
      <c r="I15" s="63"/>
      <c r="J15" s="63"/>
      <c r="K15" s="64"/>
      <c r="L15" s="5"/>
      <c r="M15" s="10" t="s">
        <v>17</v>
      </c>
      <c r="N15" s="10" t="s">
        <v>18</v>
      </c>
      <c r="O15" s="54"/>
      <c r="P15" s="54"/>
      <c r="Q15" s="54"/>
      <c r="R15" s="54"/>
    </row>
    <row r="16" spans="1:18">
      <c r="A16" s="1"/>
      <c r="B16" s="1"/>
      <c r="C16" s="5"/>
      <c r="D16" s="65"/>
      <c r="E16" s="66"/>
      <c r="F16" s="66"/>
      <c r="G16" s="66"/>
      <c r="H16" s="66"/>
      <c r="I16" s="66"/>
      <c r="J16" s="66"/>
      <c r="K16" s="67"/>
      <c r="L16" s="5"/>
      <c r="M16" s="21" t="s">
        <v>60</v>
      </c>
      <c r="N16" s="37" t="s">
        <v>61</v>
      </c>
      <c r="O16" s="54">
        <v>3617832508</v>
      </c>
      <c r="P16" s="54">
        <v>5468911666</v>
      </c>
      <c r="Q16" s="54" t="s">
        <v>244</v>
      </c>
      <c r="R16" s="54">
        <v>10</v>
      </c>
    </row>
    <row r="17" spans="1:18">
      <c r="A17" s="1"/>
      <c r="B17" s="1"/>
      <c r="C17" s="5"/>
      <c r="D17" s="5"/>
      <c r="E17" s="5"/>
      <c r="F17" s="5"/>
      <c r="G17" s="5"/>
      <c r="H17" s="5"/>
      <c r="I17" s="5"/>
      <c r="J17" s="5"/>
      <c r="K17" s="5"/>
      <c r="L17" s="5"/>
      <c r="M17" s="21" t="s">
        <v>62</v>
      </c>
      <c r="N17" s="37" t="s">
        <v>63</v>
      </c>
      <c r="O17" s="54">
        <v>3652218440</v>
      </c>
      <c r="P17" s="54">
        <v>5470395000</v>
      </c>
      <c r="Q17" s="54" t="s">
        <v>245</v>
      </c>
      <c r="R17" s="54">
        <v>11</v>
      </c>
    </row>
    <row r="18" spans="1:18" ht="15" customHeight="1">
      <c r="A18" s="1"/>
      <c r="B18" s="1"/>
      <c r="C18" s="5"/>
      <c r="D18" s="58" t="s">
        <v>238</v>
      </c>
      <c r="E18" s="58"/>
      <c r="F18" s="58"/>
      <c r="G18" s="58"/>
      <c r="H18" s="5"/>
      <c r="I18" s="58" t="s">
        <v>239</v>
      </c>
      <c r="J18" s="58"/>
      <c r="K18" s="58"/>
      <c r="L18" s="5"/>
      <c r="M18" s="21" t="s">
        <v>64</v>
      </c>
      <c r="N18" s="37" t="s">
        <v>253</v>
      </c>
      <c r="O18" s="54">
        <v>3656677181</v>
      </c>
      <c r="P18" s="54">
        <v>5510378448</v>
      </c>
      <c r="Q18" s="54" t="s">
        <v>246</v>
      </c>
      <c r="R18" s="54">
        <v>12</v>
      </c>
    </row>
    <row r="19" spans="1:18">
      <c r="A19" s="1"/>
      <c r="B19" s="1"/>
      <c r="C19" s="5"/>
      <c r="D19" s="10" t="s">
        <v>11</v>
      </c>
      <c r="E19" s="10" t="s">
        <v>22</v>
      </c>
      <c r="F19" s="10" t="s">
        <v>16</v>
      </c>
      <c r="G19" s="10" t="s">
        <v>15</v>
      </c>
      <c r="H19" s="5"/>
      <c r="I19" s="10" t="s">
        <v>23</v>
      </c>
      <c r="J19" s="10" t="s">
        <v>12</v>
      </c>
      <c r="K19" s="10" t="s">
        <v>16</v>
      </c>
      <c r="L19" s="5"/>
      <c r="M19" s="21" t="s">
        <v>247</v>
      </c>
      <c r="N19" s="37" t="s">
        <v>248</v>
      </c>
      <c r="O19" s="54">
        <v>12</v>
      </c>
      <c r="P19" s="54">
        <v>12</v>
      </c>
      <c r="Q19" s="54" t="s">
        <v>249</v>
      </c>
      <c r="R19" s="54">
        <v>28</v>
      </c>
    </row>
    <row r="20" spans="1:18">
      <c r="A20" s="1"/>
      <c r="B20" s="1"/>
      <c r="C20" s="5"/>
      <c r="D20" s="45">
        <v>43842</v>
      </c>
      <c r="E20" s="48">
        <v>12</v>
      </c>
      <c r="F20" s="39" t="s">
        <v>227</v>
      </c>
      <c r="G20" s="46">
        <v>145</v>
      </c>
      <c r="H20" s="5"/>
      <c r="I20" s="45">
        <v>43842</v>
      </c>
      <c r="J20" s="48">
        <v>12</v>
      </c>
      <c r="K20" s="37" t="s">
        <v>226</v>
      </c>
      <c r="L20" s="5"/>
      <c r="M20" s="21" t="s">
        <v>250</v>
      </c>
      <c r="N20" s="37" t="s">
        <v>251</v>
      </c>
      <c r="O20" s="54">
        <v>4545454545</v>
      </c>
      <c r="P20" s="54"/>
      <c r="Q20" s="54" t="s">
        <v>252</v>
      </c>
      <c r="R20" s="54">
        <v>29</v>
      </c>
    </row>
    <row r="21" spans="1:18">
      <c r="A21" s="1"/>
      <c r="B21" s="1"/>
      <c r="C21" s="5"/>
      <c r="D21" s="45">
        <v>43843</v>
      </c>
      <c r="E21" s="48">
        <v>13</v>
      </c>
      <c r="F21" s="39" t="s">
        <v>25</v>
      </c>
      <c r="G21" s="46">
        <v>145</v>
      </c>
      <c r="H21" s="5"/>
      <c r="I21" s="45">
        <v>43843</v>
      </c>
      <c r="J21" s="48">
        <v>13</v>
      </c>
      <c r="K21" s="37" t="s">
        <v>25</v>
      </c>
      <c r="L21" s="5"/>
      <c r="M21" s="21"/>
      <c r="N21" s="37"/>
      <c r="O21" s="54"/>
      <c r="P21" s="54"/>
      <c r="Q21" s="54"/>
      <c r="R21" s="54"/>
    </row>
    <row r="22" spans="1:18">
      <c r="A22" s="1"/>
      <c r="B22" s="1"/>
      <c r="C22" s="5"/>
      <c r="D22" s="45">
        <v>43844</v>
      </c>
      <c r="E22" s="48">
        <v>14</v>
      </c>
      <c r="F22" s="39" t="s">
        <v>226</v>
      </c>
      <c r="G22" s="46">
        <v>451</v>
      </c>
      <c r="H22" s="5"/>
      <c r="I22" s="45">
        <v>43844</v>
      </c>
      <c r="J22" s="48">
        <v>14</v>
      </c>
      <c r="K22" s="37" t="s">
        <v>226</v>
      </c>
      <c r="L22" s="5"/>
      <c r="M22" s="21"/>
      <c r="N22" s="37"/>
      <c r="O22" s="54"/>
      <c r="P22" s="54"/>
      <c r="Q22" s="54"/>
      <c r="R22" s="54"/>
    </row>
    <row r="23" spans="1:18">
      <c r="A23" s="1"/>
      <c r="B23" s="1"/>
      <c r="C23" s="5"/>
      <c r="D23" s="45">
        <v>43845</v>
      </c>
      <c r="E23" s="48">
        <v>15</v>
      </c>
      <c r="F23" s="39" t="s">
        <v>227</v>
      </c>
      <c r="G23" s="46">
        <v>521</v>
      </c>
      <c r="H23" s="5"/>
      <c r="I23" s="45">
        <v>43845</v>
      </c>
      <c r="J23" s="48">
        <v>15</v>
      </c>
      <c r="K23" s="37" t="s">
        <v>25</v>
      </c>
      <c r="L23" s="5"/>
      <c r="M23" s="21"/>
      <c r="N23" s="37"/>
      <c r="O23" s="54"/>
      <c r="P23" s="54"/>
      <c r="Q23" s="54"/>
      <c r="R23" s="54"/>
    </row>
    <row r="24" spans="1:18">
      <c r="A24" s="1"/>
      <c r="B24" s="1"/>
      <c r="C24" s="5"/>
      <c r="D24" s="45">
        <v>43846</v>
      </c>
      <c r="E24" s="48">
        <v>16</v>
      </c>
      <c r="F24" s="39" t="s">
        <v>25</v>
      </c>
      <c r="G24" s="46">
        <v>451</v>
      </c>
      <c r="H24" s="5"/>
      <c r="I24" s="45">
        <v>43846</v>
      </c>
      <c r="J24" s="48">
        <v>16</v>
      </c>
      <c r="K24" s="37" t="s">
        <v>226</v>
      </c>
      <c r="L24" s="5"/>
      <c r="M24" s="21"/>
      <c r="N24" s="37"/>
      <c r="O24" s="54"/>
      <c r="P24" s="54"/>
      <c r="Q24" s="54"/>
      <c r="R24" s="54"/>
    </row>
    <row r="25" spans="1:18">
      <c r="A25" s="1"/>
      <c r="B25" s="1"/>
      <c r="C25" s="5"/>
      <c r="D25" s="21"/>
      <c r="E25" s="48"/>
      <c r="F25" s="39"/>
      <c r="G25" s="46"/>
      <c r="H25" s="5"/>
      <c r="I25" s="21"/>
      <c r="J25" s="48"/>
      <c r="K25" s="37"/>
      <c r="L25" s="5"/>
      <c r="M25" s="21"/>
      <c r="N25" s="37"/>
      <c r="O25" s="54"/>
      <c r="P25" s="54"/>
      <c r="Q25" s="54"/>
      <c r="R25" s="54"/>
    </row>
    <row r="26" spans="1:18">
      <c r="A26" s="1"/>
      <c r="B26" s="1"/>
      <c r="C26" s="5"/>
      <c r="D26" s="21"/>
      <c r="E26" s="48"/>
      <c r="F26" s="39"/>
      <c r="G26" s="46"/>
      <c r="H26" s="5"/>
      <c r="I26" s="21"/>
      <c r="J26" s="48"/>
      <c r="K26" s="37"/>
      <c r="L26" s="5"/>
      <c r="M26" s="21"/>
      <c r="N26" s="37"/>
      <c r="O26" s="54"/>
      <c r="P26" s="54"/>
      <c r="Q26" s="54"/>
      <c r="R26" s="54"/>
    </row>
    <row r="27" spans="1:18">
      <c r="A27" s="1"/>
      <c r="B27" s="1"/>
      <c r="C27" s="5"/>
      <c r="D27" s="21"/>
      <c r="E27" s="48"/>
      <c r="F27" s="39"/>
      <c r="G27" s="46"/>
      <c r="H27" s="5"/>
      <c r="I27" s="21"/>
      <c r="J27" s="48"/>
      <c r="K27" s="37"/>
      <c r="L27" s="5"/>
      <c r="M27" s="21"/>
      <c r="N27" s="37"/>
      <c r="O27" s="54"/>
      <c r="P27" s="54"/>
      <c r="Q27" s="54"/>
      <c r="R27" s="54"/>
    </row>
    <row r="28" spans="1:18">
      <c r="A28" s="1"/>
      <c r="B28" s="1"/>
      <c r="C28" s="5"/>
      <c r="D28" s="21"/>
      <c r="E28" s="48"/>
      <c r="F28" s="39"/>
      <c r="G28" s="46"/>
      <c r="H28" s="5"/>
      <c r="I28" s="21"/>
      <c r="J28" s="48"/>
      <c r="K28" s="37"/>
      <c r="L28" s="5"/>
      <c r="M28" s="21"/>
      <c r="N28" s="37"/>
      <c r="O28" s="54"/>
      <c r="P28" s="54"/>
      <c r="Q28" s="54"/>
      <c r="R28" s="54"/>
    </row>
    <row r="29" spans="1:18">
      <c r="A29" s="1"/>
      <c r="B29" s="1"/>
      <c r="C29" s="5"/>
      <c r="D29" s="22"/>
      <c r="E29" s="49"/>
      <c r="F29" s="40"/>
      <c r="G29" s="47"/>
      <c r="H29" s="5"/>
      <c r="I29" s="22"/>
      <c r="J29" s="49"/>
      <c r="K29" s="38"/>
      <c r="L29" s="5"/>
      <c r="M29" s="22"/>
      <c r="N29" s="38"/>
      <c r="O29" s="54"/>
      <c r="P29" s="54"/>
      <c r="Q29" s="54"/>
      <c r="R29" s="54"/>
    </row>
    <row r="30" spans="1:18">
      <c r="A30" s="1"/>
      <c r="B30" s="1"/>
      <c r="C30" s="5"/>
      <c r="D30" s="5"/>
      <c r="E30" s="5"/>
      <c r="F30" s="5"/>
      <c r="G30" s="5"/>
      <c r="H30" s="5"/>
      <c r="I30" s="5"/>
      <c r="J30" s="5"/>
      <c r="K30" s="5"/>
      <c r="L30" s="5"/>
      <c r="M30" s="55" t="s">
        <v>230</v>
      </c>
      <c r="N30" s="55" t="s">
        <v>231</v>
      </c>
      <c r="O30" s="55" t="s">
        <v>232</v>
      </c>
      <c r="P30" s="55" t="s">
        <v>233</v>
      </c>
      <c r="Q30" s="55" t="s">
        <v>234</v>
      </c>
      <c r="R30" s="54"/>
    </row>
    <row r="31" spans="1:18" ht="99" customHeight="1">
      <c r="A31" s="1"/>
      <c r="B31" s="1"/>
      <c r="C31" s="5"/>
      <c r="D31" s="5"/>
      <c r="E31" s="5"/>
      <c r="F31" s="5"/>
      <c r="G31" s="5"/>
      <c r="H31" s="5"/>
      <c r="I31" s="5"/>
      <c r="J31" s="5"/>
      <c r="K31" s="5"/>
      <c r="L31" s="5"/>
      <c r="M31" s="50"/>
      <c r="N31" s="50"/>
      <c r="O31" s="50"/>
      <c r="P31" s="50"/>
      <c r="Q31" s="50"/>
      <c r="R31" s="5"/>
    </row>
  </sheetData>
  <mergeCells count="15">
    <mergeCell ref="C1:L1"/>
    <mergeCell ref="D18:G18"/>
    <mergeCell ref="I18:K18"/>
    <mergeCell ref="I6:K6"/>
    <mergeCell ref="I8:K8"/>
    <mergeCell ref="D2:E2"/>
    <mergeCell ref="F2:G2"/>
    <mergeCell ref="M2:N2"/>
    <mergeCell ref="M14:N14"/>
    <mergeCell ref="D14:K16"/>
    <mergeCell ref="E4:G4"/>
    <mergeCell ref="E10:K10"/>
    <mergeCell ref="E8:G8"/>
    <mergeCell ref="E6:G6"/>
    <mergeCell ref="E12:G12"/>
  </mergeCells>
  <conditionalFormatting sqref="D20:G29 I20:K29 M16:N29">
    <cfRule type="expression" dxfId="4" priority="2">
      <formula>MOD(ROW(),2)=0</formula>
    </cfRule>
  </conditionalFormatting>
  <conditionalFormatting sqref="M16:N29">
    <cfRule type="expression" dxfId="3" priority="1">
      <formula>$B$12=ROW()</formula>
    </cfRule>
  </conditionalFormatting>
  <dataValidations count="1">
    <dataValidation type="list" allowBlank="1" showInputMessage="1" showErrorMessage="1" sqref="F2:G2">
      <formula1>CustName</formula1>
    </dataValidation>
  </dataValidations>
  <pageMargins left="0.7" right="0.7" top="0.75" bottom="0.75" header="0.3" footer="0.3"/>
  <pageSetup orientation="portrait" horizontalDpi="200" verticalDpi="20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26"/>
  <sheetViews>
    <sheetView workbookViewId="0">
      <selection activeCell="A26" sqref="A26"/>
    </sheetView>
  </sheetViews>
  <sheetFormatPr defaultRowHeight="15"/>
  <cols>
    <col min="1" max="1" width="5.375" customWidth="1"/>
    <col min="3" max="4" width="10.875" customWidth="1"/>
    <col min="6" max="6" width="23.875" customWidth="1"/>
    <col min="7" max="7" width="6.125" customWidth="1"/>
    <col min="8" max="8" width="13.125" customWidth="1"/>
  </cols>
  <sheetData>
    <row r="1" spans="1:14">
      <c r="A1" s="15" t="s">
        <v>95</v>
      </c>
      <c r="B1" s="15" t="s">
        <v>96</v>
      </c>
      <c r="C1" s="15" t="s">
        <v>97</v>
      </c>
      <c r="D1" s="15" t="s">
        <v>98</v>
      </c>
      <c r="E1" s="15" t="s">
        <v>99</v>
      </c>
      <c r="F1" s="15" t="s">
        <v>100</v>
      </c>
      <c r="G1" s="15" t="s">
        <v>101</v>
      </c>
      <c r="H1" s="15" t="s">
        <v>102</v>
      </c>
      <c r="I1" s="15" t="s">
        <v>103</v>
      </c>
      <c r="J1" s="15" t="s">
        <v>104</v>
      </c>
      <c r="K1" s="15" t="s">
        <v>105</v>
      </c>
      <c r="L1" s="15" t="s">
        <v>106</v>
      </c>
      <c r="M1" s="15" t="s">
        <v>107</v>
      </c>
    </row>
    <row r="2" spans="1:14" ht="18.75">
      <c r="A2" s="74" t="s">
        <v>26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</row>
    <row r="3" spans="1:14">
      <c r="A3" s="18" t="s">
        <v>27</v>
      </c>
      <c r="B3" s="18" t="s">
        <v>0</v>
      </c>
      <c r="C3" s="18" t="s">
        <v>93</v>
      </c>
      <c r="D3" s="18" t="s">
        <v>94</v>
      </c>
      <c r="E3" s="18" t="s">
        <v>5</v>
      </c>
      <c r="F3" s="18" t="s">
        <v>4</v>
      </c>
      <c r="G3" s="18" t="s">
        <v>16</v>
      </c>
      <c r="H3" s="18" t="s">
        <v>3</v>
      </c>
      <c r="I3" s="18" t="s">
        <v>6</v>
      </c>
      <c r="J3" s="18" t="s">
        <v>7</v>
      </c>
      <c r="K3" s="18" t="s">
        <v>8</v>
      </c>
      <c r="L3" s="18" t="s">
        <v>9</v>
      </c>
      <c r="M3" s="18" t="s">
        <v>10</v>
      </c>
    </row>
    <row r="4" spans="1:14">
      <c r="A4" s="20">
        <v>3</v>
      </c>
      <c r="B4" s="16" t="s">
        <v>28</v>
      </c>
      <c r="C4" s="16">
        <v>3286147299</v>
      </c>
      <c r="D4" s="16">
        <v>4998430876</v>
      </c>
      <c r="E4" s="16" t="s">
        <v>111</v>
      </c>
      <c r="F4" s="19" t="s">
        <v>112</v>
      </c>
      <c r="G4" s="16" t="s">
        <v>133</v>
      </c>
      <c r="H4" s="19" t="s">
        <v>135</v>
      </c>
      <c r="I4" s="16" t="s">
        <v>136</v>
      </c>
      <c r="J4" s="16" t="s">
        <v>158</v>
      </c>
      <c r="K4" s="20" t="s">
        <v>176</v>
      </c>
      <c r="L4" s="20">
        <v>43119</v>
      </c>
      <c r="M4" s="16" t="s">
        <v>196</v>
      </c>
      <c r="N4" s="16" t="s">
        <v>217</v>
      </c>
    </row>
    <row r="5" spans="1:14">
      <c r="A5" s="20">
        <v>4</v>
      </c>
      <c r="B5" s="16" t="s">
        <v>29</v>
      </c>
      <c r="C5" s="16">
        <v>3455894869</v>
      </c>
      <c r="D5" s="16">
        <v>5226387591</v>
      </c>
      <c r="E5" s="16" t="s">
        <v>109</v>
      </c>
      <c r="F5" s="19" t="s">
        <v>113</v>
      </c>
      <c r="G5" s="16" t="s">
        <v>133</v>
      </c>
      <c r="H5" s="19" t="s">
        <v>135</v>
      </c>
      <c r="I5" s="16" t="s">
        <v>137</v>
      </c>
      <c r="J5" s="16" t="s">
        <v>159</v>
      </c>
      <c r="K5" s="20" t="s">
        <v>175</v>
      </c>
      <c r="L5" s="20">
        <v>59900</v>
      </c>
      <c r="M5" s="16" t="s">
        <v>197</v>
      </c>
      <c r="N5" s="16" t="s">
        <v>217</v>
      </c>
    </row>
    <row r="6" spans="1:14">
      <c r="A6" s="20">
        <v>5</v>
      </c>
      <c r="B6" s="16" t="s">
        <v>30</v>
      </c>
      <c r="C6" s="16">
        <v>3488520913</v>
      </c>
      <c r="D6" s="16">
        <v>5238693304</v>
      </c>
      <c r="E6" s="16" t="s">
        <v>110</v>
      </c>
      <c r="F6" s="19" t="s">
        <v>128</v>
      </c>
      <c r="G6" s="16" t="s">
        <v>133</v>
      </c>
      <c r="H6" s="19" t="s">
        <v>135</v>
      </c>
      <c r="I6" s="16" t="s">
        <v>138</v>
      </c>
      <c r="J6" s="16" t="s">
        <v>160</v>
      </c>
      <c r="K6" s="20" t="s">
        <v>177</v>
      </c>
      <c r="L6" s="20">
        <v>59677</v>
      </c>
      <c r="M6" s="16" t="s">
        <v>198</v>
      </c>
      <c r="N6" s="16" t="s">
        <v>217</v>
      </c>
    </row>
    <row r="7" spans="1:14">
      <c r="A7" s="20">
        <v>6</v>
      </c>
      <c r="B7" s="16" t="s">
        <v>31</v>
      </c>
      <c r="C7" s="16">
        <v>3497730067</v>
      </c>
      <c r="D7" s="16">
        <v>5358659080</v>
      </c>
      <c r="E7" s="16" t="s">
        <v>111</v>
      </c>
      <c r="F7" s="19" t="s">
        <v>129</v>
      </c>
      <c r="G7" s="16" t="s">
        <v>133</v>
      </c>
      <c r="H7" s="19" t="s">
        <v>135</v>
      </c>
      <c r="I7" s="16" t="s">
        <v>139</v>
      </c>
      <c r="J7" s="16" t="s">
        <v>161</v>
      </c>
      <c r="K7" s="20" t="s">
        <v>177</v>
      </c>
      <c r="L7" s="20">
        <v>43779</v>
      </c>
      <c r="M7" s="16" t="s">
        <v>199</v>
      </c>
      <c r="N7" s="16" t="s">
        <v>217</v>
      </c>
    </row>
    <row r="8" spans="1:14">
      <c r="A8" s="20">
        <v>7</v>
      </c>
      <c r="B8" s="16" t="s">
        <v>32</v>
      </c>
      <c r="C8" s="16">
        <v>3617832508</v>
      </c>
      <c r="D8" s="16">
        <v>5468911666</v>
      </c>
      <c r="E8" s="16" t="s">
        <v>109</v>
      </c>
      <c r="F8" s="19" t="s">
        <v>114</v>
      </c>
      <c r="G8" s="16" t="s">
        <v>133</v>
      </c>
      <c r="H8" s="19" t="s">
        <v>135</v>
      </c>
      <c r="I8" s="16" t="s">
        <v>140</v>
      </c>
      <c r="J8" s="16" t="s">
        <v>162</v>
      </c>
      <c r="K8" s="20" t="s">
        <v>178</v>
      </c>
      <c r="L8" s="20">
        <v>53512</v>
      </c>
      <c r="M8" s="16" t="s">
        <v>200</v>
      </c>
      <c r="N8" s="16" t="s">
        <v>217</v>
      </c>
    </row>
    <row r="9" spans="1:14">
      <c r="A9" s="20">
        <v>8</v>
      </c>
      <c r="B9" s="16" t="s">
        <v>108</v>
      </c>
      <c r="C9" s="16">
        <v>3652218440</v>
      </c>
      <c r="D9" s="16">
        <v>5470395000</v>
      </c>
      <c r="E9" s="16" t="s">
        <v>110</v>
      </c>
      <c r="F9" s="19" t="s">
        <v>132</v>
      </c>
      <c r="G9" s="16" t="s">
        <v>133</v>
      </c>
      <c r="H9" s="19" t="s">
        <v>135</v>
      </c>
      <c r="I9" s="16" t="s">
        <v>141</v>
      </c>
      <c r="J9" s="16" t="s">
        <v>163</v>
      </c>
      <c r="K9" s="20" t="s">
        <v>179</v>
      </c>
      <c r="L9" s="20">
        <v>94940</v>
      </c>
      <c r="M9" s="16" t="s">
        <v>201</v>
      </c>
      <c r="N9" s="16" t="s">
        <v>217</v>
      </c>
    </row>
    <row r="10" spans="1:14">
      <c r="A10" s="20">
        <v>9</v>
      </c>
      <c r="B10" s="16" t="s">
        <v>33</v>
      </c>
      <c r="C10" s="16">
        <v>3656677181</v>
      </c>
      <c r="D10" s="16">
        <v>5510378448</v>
      </c>
      <c r="E10" s="16" t="s">
        <v>111</v>
      </c>
      <c r="F10" s="19" t="s">
        <v>115</v>
      </c>
      <c r="G10" s="16" t="s">
        <v>134</v>
      </c>
      <c r="H10" s="19" t="s">
        <v>135</v>
      </c>
      <c r="I10" s="16" t="s">
        <v>142</v>
      </c>
      <c r="J10" s="16" t="s">
        <v>164</v>
      </c>
      <c r="K10" s="20" t="s">
        <v>180</v>
      </c>
      <c r="L10" s="20">
        <v>61338</v>
      </c>
      <c r="M10" s="16" t="s">
        <v>202</v>
      </c>
      <c r="N10" s="16" t="s">
        <v>217</v>
      </c>
    </row>
    <row r="11" spans="1:14">
      <c r="A11" s="20">
        <v>10</v>
      </c>
      <c r="B11" s="16" t="s">
        <v>34</v>
      </c>
      <c r="C11" s="16">
        <v>3767682976</v>
      </c>
      <c r="D11" s="16">
        <v>5637544366</v>
      </c>
      <c r="E11" s="16" t="s">
        <v>109</v>
      </c>
      <c r="F11" s="19" t="s">
        <v>116</v>
      </c>
      <c r="G11" s="16" t="s">
        <v>133</v>
      </c>
      <c r="H11" s="19" t="s">
        <v>135</v>
      </c>
      <c r="I11" s="16" t="s">
        <v>143</v>
      </c>
      <c r="J11" s="16" t="s">
        <v>165</v>
      </c>
      <c r="K11" s="20" t="s">
        <v>181</v>
      </c>
      <c r="L11" s="20">
        <v>96702</v>
      </c>
      <c r="M11" s="16" t="s">
        <v>203</v>
      </c>
      <c r="N11" s="16" t="s">
        <v>217</v>
      </c>
    </row>
    <row r="12" spans="1:14">
      <c r="A12" s="20">
        <v>11</v>
      </c>
      <c r="B12" s="16" t="s">
        <v>35</v>
      </c>
      <c r="C12" s="16">
        <v>4060442480</v>
      </c>
      <c r="D12" s="16">
        <v>5730638126.3999996</v>
      </c>
      <c r="E12" s="16" t="s">
        <v>110</v>
      </c>
      <c r="F12" s="19" t="s">
        <v>117</v>
      </c>
      <c r="G12" s="16" t="s">
        <v>133</v>
      </c>
      <c r="H12" s="19" t="s">
        <v>135</v>
      </c>
      <c r="I12" s="16" t="s">
        <v>144</v>
      </c>
      <c r="J12" s="16" t="s">
        <v>157</v>
      </c>
      <c r="K12" s="20" t="s">
        <v>159</v>
      </c>
      <c r="L12" s="20">
        <v>89637</v>
      </c>
      <c r="M12" s="16" t="s">
        <v>204</v>
      </c>
      <c r="N12" s="16" t="s">
        <v>217</v>
      </c>
    </row>
    <row r="13" spans="1:14">
      <c r="A13" s="20">
        <v>12</v>
      </c>
      <c r="B13" s="16" t="s">
        <v>36</v>
      </c>
      <c r="C13" s="16">
        <v>4105775808</v>
      </c>
      <c r="D13" s="16">
        <v>5812784905.4181805</v>
      </c>
      <c r="E13" s="16" t="s">
        <v>111</v>
      </c>
      <c r="F13" s="19" t="s">
        <v>118</v>
      </c>
      <c r="G13" s="16" t="s">
        <v>133</v>
      </c>
      <c r="H13" s="19" t="s">
        <v>135</v>
      </c>
      <c r="I13" s="16" t="s">
        <v>145</v>
      </c>
      <c r="J13" s="16" t="s">
        <v>166</v>
      </c>
      <c r="K13" s="20" t="s">
        <v>182</v>
      </c>
      <c r="L13" s="20">
        <v>99760</v>
      </c>
      <c r="M13" s="16" t="s">
        <v>205</v>
      </c>
      <c r="N13" s="16" t="s">
        <v>217</v>
      </c>
    </row>
    <row r="14" spans="1:14">
      <c r="A14" s="20">
        <v>13</v>
      </c>
      <c r="B14" s="16" t="s">
        <v>37</v>
      </c>
      <c r="C14" s="16">
        <v>4284573915</v>
      </c>
      <c r="D14" s="16">
        <v>5894931684.4363604</v>
      </c>
      <c r="E14" s="16" t="s">
        <v>109</v>
      </c>
      <c r="F14" s="19" t="s">
        <v>119</v>
      </c>
      <c r="G14" s="16" t="s">
        <v>133</v>
      </c>
      <c r="H14" s="19" t="s">
        <v>135</v>
      </c>
      <c r="I14" s="16" t="s">
        <v>146</v>
      </c>
      <c r="J14" s="16" t="s">
        <v>2</v>
      </c>
      <c r="K14" s="20" t="s">
        <v>183</v>
      </c>
      <c r="L14" s="20">
        <v>35341</v>
      </c>
      <c r="M14" s="16" t="s">
        <v>206</v>
      </c>
      <c r="N14" s="16" t="s">
        <v>217</v>
      </c>
    </row>
    <row r="15" spans="1:14">
      <c r="A15" s="20">
        <v>14</v>
      </c>
      <c r="B15" s="16" t="s">
        <v>38</v>
      </c>
      <c r="C15" s="16">
        <v>4300830272</v>
      </c>
      <c r="D15" s="16">
        <v>5977078463.4545403</v>
      </c>
      <c r="E15" s="16" t="s">
        <v>110</v>
      </c>
      <c r="F15" s="19" t="s">
        <v>120</v>
      </c>
      <c r="G15" s="16" t="s">
        <v>133</v>
      </c>
      <c r="H15" s="19" t="s">
        <v>135</v>
      </c>
      <c r="I15" s="16" t="s">
        <v>147</v>
      </c>
      <c r="J15" s="16" t="s">
        <v>167</v>
      </c>
      <c r="K15" s="20" t="s">
        <v>184</v>
      </c>
      <c r="L15" s="20">
        <v>69816</v>
      </c>
      <c r="M15" s="16" t="s">
        <v>207</v>
      </c>
      <c r="N15" s="16" t="s">
        <v>217</v>
      </c>
    </row>
    <row r="16" spans="1:14">
      <c r="A16" s="20">
        <v>15</v>
      </c>
      <c r="B16" s="16" t="s">
        <v>39</v>
      </c>
      <c r="C16" s="16">
        <v>4318645808</v>
      </c>
      <c r="D16" s="16">
        <v>6059225242.4727297</v>
      </c>
      <c r="E16" s="16" t="s">
        <v>111</v>
      </c>
      <c r="F16" s="19" t="s">
        <v>121</v>
      </c>
      <c r="G16" s="16" t="s">
        <v>134</v>
      </c>
      <c r="H16" s="19" t="s">
        <v>135</v>
      </c>
      <c r="I16" s="16" t="s">
        <v>148</v>
      </c>
      <c r="J16" s="16" t="s">
        <v>168</v>
      </c>
      <c r="K16" s="20" t="s">
        <v>185</v>
      </c>
      <c r="L16" s="20">
        <v>57439</v>
      </c>
      <c r="M16" s="16" t="s">
        <v>208</v>
      </c>
      <c r="N16" s="16" t="s">
        <v>217</v>
      </c>
    </row>
    <row r="17" spans="1:14">
      <c r="A17" s="20">
        <v>16</v>
      </c>
      <c r="B17" s="16" t="s">
        <v>40</v>
      </c>
      <c r="C17" s="16">
        <v>4333250839</v>
      </c>
      <c r="D17" s="16">
        <v>6141372021.4909096</v>
      </c>
      <c r="E17" s="16" t="s">
        <v>109</v>
      </c>
      <c r="F17" s="19" t="s">
        <v>122</v>
      </c>
      <c r="G17" s="16" t="s">
        <v>133</v>
      </c>
      <c r="H17" s="19" t="s">
        <v>135</v>
      </c>
      <c r="I17" s="16" t="s">
        <v>149</v>
      </c>
      <c r="J17" s="16" t="s">
        <v>169</v>
      </c>
      <c r="K17" s="20" t="s">
        <v>186</v>
      </c>
      <c r="L17" s="20">
        <v>95515</v>
      </c>
      <c r="M17" s="16" t="s">
        <v>209</v>
      </c>
      <c r="N17" s="16" t="s">
        <v>217</v>
      </c>
    </row>
    <row r="18" spans="1:14">
      <c r="A18" s="20">
        <v>17</v>
      </c>
      <c r="B18" s="16" t="s">
        <v>41</v>
      </c>
      <c r="C18" s="16">
        <v>4385915727</v>
      </c>
      <c r="D18" s="16">
        <v>6223518800.5090904</v>
      </c>
      <c r="E18" s="16" t="s">
        <v>110</v>
      </c>
      <c r="F18" s="19" t="s">
        <v>131</v>
      </c>
      <c r="G18" s="16" t="s">
        <v>133</v>
      </c>
      <c r="H18" s="19" t="s">
        <v>135</v>
      </c>
      <c r="I18" s="16" t="s">
        <v>150</v>
      </c>
      <c r="J18" s="16" t="s">
        <v>170</v>
      </c>
      <c r="K18" s="20" t="s">
        <v>187</v>
      </c>
      <c r="L18" s="20">
        <v>75119</v>
      </c>
      <c r="M18" s="16" t="s">
        <v>210</v>
      </c>
      <c r="N18" s="16" t="s">
        <v>217</v>
      </c>
    </row>
    <row r="19" spans="1:14">
      <c r="A19" s="20">
        <v>18</v>
      </c>
      <c r="B19" s="16" t="s">
        <v>42</v>
      </c>
      <c r="C19" s="16">
        <v>4401926418</v>
      </c>
      <c r="D19" s="16">
        <v>6305665579.5272703</v>
      </c>
      <c r="E19" s="16" t="s">
        <v>111</v>
      </c>
      <c r="F19" s="19" t="s">
        <v>123</v>
      </c>
      <c r="G19" s="16" t="s">
        <v>133</v>
      </c>
      <c r="H19" s="19" t="s">
        <v>135</v>
      </c>
      <c r="I19" s="16" t="s">
        <v>151</v>
      </c>
      <c r="J19" s="16" t="s">
        <v>171</v>
      </c>
      <c r="K19" s="20" t="s">
        <v>188</v>
      </c>
      <c r="L19" s="20">
        <v>18065</v>
      </c>
      <c r="M19" s="16" t="s">
        <v>211</v>
      </c>
      <c r="N19" s="16" t="s">
        <v>217</v>
      </c>
    </row>
    <row r="20" spans="1:14">
      <c r="A20" s="20">
        <v>19</v>
      </c>
      <c r="B20" s="16" t="s">
        <v>43</v>
      </c>
      <c r="C20" s="16">
        <v>4460231480</v>
      </c>
      <c r="D20" s="16">
        <v>6387812358.5454502</v>
      </c>
      <c r="E20" s="16" t="s">
        <v>109</v>
      </c>
      <c r="F20" s="19" t="s">
        <v>124</v>
      </c>
      <c r="G20" s="16" t="s">
        <v>133</v>
      </c>
      <c r="H20" s="19" t="s">
        <v>135</v>
      </c>
      <c r="I20" s="16" t="s">
        <v>152</v>
      </c>
      <c r="J20" s="16" t="s">
        <v>172</v>
      </c>
      <c r="K20" s="20" t="s">
        <v>189</v>
      </c>
      <c r="L20" s="20">
        <v>39456</v>
      </c>
      <c r="M20" s="16" t="s">
        <v>212</v>
      </c>
      <c r="N20" s="16" t="s">
        <v>217</v>
      </c>
    </row>
    <row r="21" spans="1:14">
      <c r="A21" s="20">
        <v>20</v>
      </c>
      <c r="B21" s="16" t="s">
        <v>44</v>
      </c>
      <c r="C21" s="16">
        <v>4705151637</v>
      </c>
      <c r="D21" s="16">
        <v>6469959137.5636396</v>
      </c>
      <c r="E21" s="16" t="s">
        <v>110</v>
      </c>
      <c r="F21" s="19" t="s">
        <v>125</v>
      </c>
      <c r="G21" s="16" t="s">
        <v>133</v>
      </c>
      <c r="H21" s="19" t="s">
        <v>135</v>
      </c>
      <c r="I21" s="16" t="s">
        <v>153</v>
      </c>
      <c r="J21" s="16" t="s">
        <v>173</v>
      </c>
      <c r="K21" s="20" t="s">
        <v>190</v>
      </c>
      <c r="L21" s="20">
        <v>78200</v>
      </c>
      <c r="M21" s="16" t="s">
        <v>213</v>
      </c>
      <c r="N21" s="16" t="s">
        <v>217</v>
      </c>
    </row>
    <row r="22" spans="1:14">
      <c r="A22" s="20">
        <v>21</v>
      </c>
      <c r="B22" s="16" t="s">
        <v>45</v>
      </c>
      <c r="C22" s="16">
        <v>4739438696</v>
      </c>
      <c r="D22" s="16">
        <v>6552105916.5818195</v>
      </c>
      <c r="E22" s="16" t="s">
        <v>111</v>
      </c>
      <c r="F22" s="19" t="s">
        <v>126</v>
      </c>
      <c r="G22" s="16" t="s">
        <v>133</v>
      </c>
      <c r="H22" s="19" t="s">
        <v>135</v>
      </c>
      <c r="I22" s="16" t="s">
        <v>154</v>
      </c>
      <c r="J22" s="16" t="s">
        <v>174</v>
      </c>
      <c r="K22" s="20" t="s">
        <v>191</v>
      </c>
      <c r="L22" s="20">
        <v>25505</v>
      </c>
      <c r="M22" s="16" t="s">
        <v>214</v>
      </c>
      <c r="N22" s="16" t="s">
        <v>217</v>
      </c>
    </row>
    <row r="23" spans="1:14">
      <c r="A23" s="20">
        <v>22</v>
      </c>
      <c r="B23" s="16" t="s">
        <v>46</v>
      </c>
      <c r="C23" s="16">
        <v>4851929101</v>
      </c>
      <c r="D23" s="16">
        <v>6634252695.6000004</v>
      </c>
      <c r="E23" s="16" t="s">
        <v>109</v>
      </c>
      <c r="F23" s="19" t="s">
        <v>127</v>
      </c>
      <c r="G23" s="16" t="s">
        <v>133</v>
      </c>
      <c r="H23" s="19" t="s">
        <v>135</v>
      </c>
      <c r="I23" s="16" t="s">
        <v>155</v>
      </c>
      <c r="J23" s="16" t="s">
        <v>192</v>
      </c>
      <c r="K23" s="20" t="s">
        <v>193</v>
      </c>
      <c r="L23" s="20">
        <v>47088</v>
      </c>
      <c r="M23" s="16" t="s">
        <v>215</v>
      </c>
      <c r="N23" s="16" t="s">
        <v>217</v>
      </c>
    </row>
    <row r="24" spans="1:14">
      <c r="A24" s="20">
        <v>23</v>
      </c>
      <c r="B24" s="16" t="s">
        <v>47</v>
      </c>
      <c r="C24" s="16">
        <v>4899654523</v>
      </c>
      <c r="D24" s="16">
        <v>6716399474.6181803</v>
      </c>
      <c r="E24" s="16" t="s">
        <v>110</v>
      </c>
      <c r="F24" s="19" t="s">
        <v>130</v>
      </c>
      <c r="G24" s="16" t="s">
        <v>133</v>
      </c>
      <c r="H24" s="19" t="s">
        <v>135</v>
      </c>
      <c r="I24" s="16" t="s">
        <v>156</v>
      </c>
      <c r="J24" s="16" t="s">
        <v>194</v>
      </c>
      <c r="K24" s="16" t="s">
        <v>195</v>
      </c>
      <c r="L24" s="16">
        <v>51450</v>
      </c>
      <c r="M24" s="16" t="s">
        <v>216</v>
      </c>
      <c r="N24" s="16" t="s">
        <v>217</v>
      </c>
    </row>
    <row r="25" spans="1:14">
      <c r="F25" s="17"/>
    </row>
    <row r="26" spans="1:14">
      <c r="F26" s="17"/>
    </row>
  </sheetData>
  <mergeCells count="1">
    <mergeCell ref="A2:M2"/>
  </mergeCells>
  <conditionalFormatting sqref="A4:M24">
    <cfRule type="expression" dxfId="2" priority="1">
      <formula>MOD(ROW(),2)=0</formula>
    </cfRule>
  </conditionalFormatting>
  <hyperlinks>
    <hyperlink ref="F6" r:id="rId1"/>
    <hyperlink ref="F7" r:id="rId2"/>
    <hyperlink ref="F24" r:id="rId3"/>
    <hyperlink ref="F18" r:id="rId4"/>
    <hyperlink ref="F9" r:id="rId5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Q35"/>
  <sheetViews>
    <sheetView workbookViewId="0">
      <selection activeCell="D29" sqref="D29"/>
    </sheetView>
  </sheetViews>
  <sheetFormatPr defaultRowHeight="15"/>
  <cols>
    <col min="1" max="1" width="5.875" customWidth="1"/>
    <col min="2" max="2" width="8.125" customWidth="1"/>
    <col min="3" max="3" width="8.5" customWidth="1"/>
  </cols>
  <sheetData>
    <row r="1" spans="1:17" ht="15.75">
      <c r="A1" s="33" t="s">
        <v>95</v>
      </c>
      <c r="B1" s="33" t="s">
        <v>230</v>
      </c>
      <c r="C1" s="33" t="s">
        <v>231</v>
      </c>
      <c r="D1" s="33" t="s">
        <v>232</v>
      </c>
      <c r="E1" s="33" t="s">
        <v>233</v>
      </c>
      <c r="F1" s="33" t="s">
        <v>234</v>
      </c>
      <c r="G1" s="33"/>
      <c r="H1" s="16"/>
      <c r="I1" s="16"/>
      <c r="J1" s="25" t="s">
        <v>221</v>
      </c>
      <c r="K1" s="16"/>
      <c r="L1" s="76" t="s">
        <v>220</v>
      </c>
      <c r="M1" s="76"/>
      <c r="N1" s="76"/>
      <c r="O1" s="76"/>
      <c r="P1" s="76"/>
      <c r="Q1" s="76"/>
    </row>
    <row r="2" spans="1:17" ht="18.75">
      <c r="A2" s="75" t="s">
        <v>21</v>
      </c>
      <c r="B2" s="75"/>
      <c r="C2" s="75"/>
      <c r="D2" s="75"/>
      <c r="E2" s="75"/>
      <c r="F2" s="75"/>
      <c r="G2" s="75"/>
      <c r="H2" s="16"/>
      <c r="I2" s="16"/>
      <c r="J2" s="24" t="s">
        <v>218</v>
      </c>
      <c r="K2" s="16"/>
      <c r="L2" s="23" t="s">
        <v>17</v>
      </c>
      <c r="M2" s="23" t="s">
        <v>18</v>
      </c>
      <c r="N2" s="23" t="s">
        <v>19</v>
      </c>
      <c r="O2" s="23" t="s">
        <v>20</v>
      </c>
      <c r="P2" s="23" t="s">
        <v>4</v>
      </c>
      <c r="Q2" s="23" t="s">
        <v>219</v>
      </c>
    </row>
    <row r="3" spans="1:17">
      <c r="A3" s="23" t="s">
        <v>218</v>
      </c>
      <c r="B3" s="23" t="s">
        <v>17</v>
      </c>
      <c r="C3" s="23" t="s">
        <v>18</v>
      </c>
      <c r="D3" s="23" t="s">
        <v>19</v>
      </c>
      <c r="E3" s="23" t="s">
        <v>20</v>
      </c>
      <c r="F3" s="23" t="s">
        <v>4</v>
      </c>
      <c r="G3" s="23" t="s">
        <v>219</v>
      </c>
      <c r="H3" s="16"/>
      <c r="I3" s="16"/>
      <c r="J3" s="24">
        <f>CustomerMgr!B2</f>
        <v>3</v>
      </c>
      <c r="K3" s="16"/>
      <c r="L3" s="16" t="s">
        <v>60</v>
      </c>
      <c r="M3" s="16" t="s">
        <v>61</v>
      </c>
      <c r="N3" s="16">
        <v>3617832508</v>
      </c>
      <c r="O3" s="16">
        <v>5468911666</v>
      </c>
      <c r="P3" s="16" t="s">
        <v>244</v>
      </c>
      <c r="Q3" s="20">
        <v>10</v>
      </c>
    </row>
    <row r="4" spans="1:17">
      <c r="A4" s="20">
        <v>1</v>
      </c>
      <c r="B4" s="16" t="s">
        <v>48</v>
      </c>
      <c r="C4" s="16" t="s">
        <v>49</v>
      </c>
      <c r="D4" s="16">
        <v>3030998803</v>
      </c>
      <c r="E4" s="16">
        <v>4905665952</v>
      </c>
      <c r="F4" s="16" t="str">
        <f>B4&amp;"@Google.com"</f>
        <v>Rashad@Google.com</v>
      </c>
      <c r="G4" s="20">
        <v>4</v>
      </c>
      <c r="H4" s="16"/>
      <c r="I4" s="16"/>
      <c r="J4" s="16"/>
      <c r="K4" s="16"/>
      <c r="L4" s="16" t="s">
        <v>62</v>
      </c>
      <c r="M4" s="16" t="s">
        <v>63</v>
      </c>
      <c r="N4" s="16">
        <v>3652218440</v>
      </c>
      <c r="O4" s="16">
        <v>5470395000</v>
      </c>
      <c r="P4" s="16" t="s">
        <v>245</v>
      </c>
      <c r="Q4" s="20">
        <v>11</v>
      </c>
    </row>
    <row r="5" spans="1:17">
      <c r="A5" s="20">
        <v>1</v>
      </c>
      <c r="B5" s="16" t="s">
        <v>50</v>
      </c>
      <c r="C5" s="16" t="s">
        <v>51</v>
      </c>
      <c r="D5" s="16">
        <v>3042620936</v>
      </c>
      <c r="E5" s="16">
        <v>4973242135</v>
      </c>
      <c r="F5" s="16" t="str">
        <f t="shared" ref="F5:F26" si="0">B5&amp;"@Google.com"</f>
        <v>Hamish@Google.com</v>
      </c>
      <c r="G5" s="20">
        <v>5</v>
      </c>
      <c r="H5" s="16"/>
      <c r="I5" s="16"/>
      <c r="J5" s="16"/>
      <c r="K5" s="16"/>
      <c r="L5" s="16" t="s">
        <v>64</v>
      </c>
      <c r="M5" s="16" t="s">
        <v>253</v>
      </c>
      <c r="N5" s="16">
        <v>3656677181</v>
      </c>
      <c r="O5" s="16">
        <v>5510378448</v>
      </c>
      <c r="P5" s="16" t="s">
        <v>246</v>
      </c>
      <c r="Q5" s="20">
        <v>12</v>
      </c>
    </row>
    <row r="6" spans="1:17">
      <c r="A6" s="20">
        <v>1</v>
      </c>
      <c r="B6" s="16" t="s">
        <v>52</v>
      </c>
      <c r="C6" s="16" t="s">
        <v>53</v>
      </c>
      <c r="D6" s="16">
        <v>3286147299</v>
      </c>
      <c r="E6" s="16">
        <v>4998430876</v>
      </c>
      <c r="F6" s="16" t="str">
        <f t="shared" si="0"/>
        <v>Zorita@Google.com</v>
      </c>
      <c r="G6" s="20">
        <v>6</v>
      </c>
      <c r="H6" s="16"/>
      <c r="I6" s="16"/>
      <c r="J6" s="16"/>
      <c r="K6" s="16"/>
      <c r="L6" s="16" t="s">
        <v>247</v>
      </c>
      <c r="M6" s="16" t="s">
        <v>248</v>
      </c>
      <c r="N6" s="16">
        <v>12</v>
      </c>
      <c r="O6" s="16">
        <v>12</v>
      </c>
      <c r="P6" s="16" t="s">
        <v>249</v>
      </c>
      <c r="Q6" s="16">
        <v>28</v>
      </c>
    </row>
    <row r="7" spans="1:17">
      <c r="A7" s="20">
        <v>2</v>
      </c>
      <c r="B7" s="16" t="s">
        <v>54</v>
      </c>
      <c r="C7" s="16" t="s">
        <v>55</v>
      </c>
      <c r="D7" s="16">
        <v>3455894869</v>
      </c>
      <c r="E7" s="16">
        <v>5226387591</v>
      </c>
      <c r="F7" s="16" t="str">
        <f t="shared" si="0"/>
        <v>Benedict@Google.com</v>
      </c>
      <c r="G7" s="20">
        <v>7</v>
      </c>
      <c r="H7" s="16"/>
      <c r="I7" s="16"/>
      <c r="J7" s="16"/>
      <c r="K7" s="16"/>
      <c r="L7" s="16" t="s">
        <v>250</v>
      </c>
      <c r="M7" s="16" t="s">
        <v>251</v>
      </c>
      <c r="N7" s="16">
        <v>4545454545</v>
      </c>
      <c r="O7" s="16"/>
      <c r="P7" s="16" t="s">
        <v>252</v>
      </c>
      <c r="Q7" s="16">
        <v>29</v>
      </c>
    </row>
    <row r="8" spans="1:17">
      <c r="A8" s="20">
        <v>2</v>
      </c>
      <c r="B8" s="16" t="s">
        <v>56</v>
      </c>
      <c r="C8" s="16" t="s">
        <v>57</v>
      </c>
      <c r="D8" s="16">
        <v>3488520913</v>
      </c>
      <c r="E8" s="16">
        <v>5238693304</v>
      </c>
      <c r="F8" s="16" t="str">
        <f t="shared" si="0"/>
        <v>Otto@Google.com</v>
      </c>
      <c r="G8" s="20">
        <v>8</v>
      </c>
      <c r="H8" s="16"/>
      <c r="I8" s="16"/>
      <c r="J8" s="16"/>
      <c r="K8" s="16"/>
      <c r="L8" s="16"/>
      <c r="M8" s="16"/>
      <c r="N8" s="16"/>
      <c r="O8" s="16"/>
      <c r="P8" s="16"/>
      <c r="Q8" s="20"/>
    </row>
    <row r="9" spans="1:17">
      <c r="A9" s="20">
        <v>2</v>
      </c>
      <c r="B9" s="16" t="s">
        <v>58</v>
      </c>
      <c r="C9" s="16" t="s">
        <v>59</v>
      </c>
      <c r="D9" s="16">
        <v>3497730067</v>
      </c>
      <c r="E9" s="16">
        <v>5358659080</v>
      </c>
      <c r="F9" s="16" t="str">
        <f t="shared" si="0"/>
        <v>Carla@Google.com</v>
      </c>
      <c r="G9" s="20">
        <v>9</v>
      </c>
      <c r="H9" s="16"/>
      <c r="I9" s="16"/>
      <c r="J9" s="16"/>
      <c r="K9" s="16"/>
      <c r="L9" s="16"/>
      <c r="M9" s="16"/>
      <c r="N9" s="16"/>
      <c r="O9" s="16"/>
      <c r="P9" s="16"/>
      <c r="Q9" s="20"/>
    </row>
    <row r="10" spans="1:17">
      <c r="A10" s="20">
        <v>3</v>
      </c>
      <c r="B10" s="16" t="s">
        <v>60</v>
      </c>
      <c r="C10" s="16" t="s">
        <v>61</v>
      </c>
      <c r="D10" s="16">
        <v>3617832508</v>
      </c>
      <c r="E10" s="16">
        <v>5468911666</v>
      </c>
      <c r="F10" s="16" t="str">
        <f t="shared" si="0"/>
        <v>Rhiannon@Google.com</v>
      </c>
      <c r="G10" s="20">
        <v>10</v>
      </c>
      <c r="H10" s="16"/>
      <c r="I10" s="16"/>
      <c r="J10" s="16"/>
      <c r="K10" s="16"/>
      <c r="L10" s="16"/>
      <c r="M10" s="16"/>
      <c r="N10" s="16"/>
      <c r="O10" s="16"/>
      <c r="P10" s="16"/>
      <c r="Q10" s="20"/>
    </row>
    <row r="11" spans="1:17">
      <c r="A11" s="20">
        <v>3</v>
      </c>
      <c r="B11" s="16" t="s">
        <v>62</v>
      </c>
      <c r="C11" s="16" t="s">
        <v>63</v>
      </c>
      <c r="D11" s="16">
        <v>3652218440</v>
      </c>
      <c r="E11" s="16">
        <v>5470395000</v>
      </c>
      <c r="F11" s="16" t="str">
        <f t="shared" si="0"/>
        <v>Dexter@Google.com</v>
      </c>
      <c r="G11" s="20">
        <v>11</v>
      </c>
      <c r="H11" s="16"/>
      <c r="I11" s="16"/>
      <c r="J11" s="16"/>
      <c r="K11" s="16"/>
      <c r="L11" s="16"/>
      <c r="M11" s="16"/>
      <c r="N11" s="16"/>
      <c r="O11" s="16"/>
      <c r="P11" s="16"/>
      <c r="Q11" s="20"/>
    </row>
    <row r="12" spans="1:17">
      <c r="A12" s="20">
        <v>3</v>
      </c>
      <c r="B12" s="16" t="s">
        <v>64</v>
      </c>
      <c r="C12" s="16" t="s">
        <v>253</v>
      </c>
      <c r="D12" s="16">
        <v>3656677181</v>
      </c>
      <c r="E12" s="16">
        <v>5510378448</v>
      </c>
      <c r="F12" s="16" t="str">
        <f t="shared" si="0"/>
        <v>Merritt@Google.com</v>
      </c>
      <c r="G12" s="20">
        <v>12</v>
      </c>
      <c r="H12" s="16"/>
      <c r="I12" s="16"/>
      <c r="J12" s="16"/>
      <c r="K12" s="16"/>
      <c r="L12" s="16"/>
      <c r="M12" s="16"/>
      <c r="N12" s="16"/>
      <c r="O12" s="16"/>
      <c r="P12" s="16"/>
      <c r="Q12" s="20"/>
    </row>
    <row r="13" spans="1:17">
      <c r="A13" s="20">
        <v>4</v>
      </c>
      <c r="B13" s="16" t="s">
        <v>65</v>
      </c>
      <c r="C13" s="16" t="s">
        <v>66</v>
      </c>
      <c r="D13" s="16">
        <v>3767682976</v>
      </c>
      <c r="E13" s="16">
        <v>5637544366</v>
      </c>
      <c r="F13" s="16" t="str">
        <f t="shared" si="0"/>
        <v>Anne@Google.com</v>
      </c>
      <c r="G13" s="20">
        <v>13</v>
      </c>
      <c r="H13" s="16"/>
      <c r="I13" s="16"/>
      <c r="J13" s="16"/>
      <c r="K13" s="16"/>
      <c r="L13" s="16"/>
      <c r="M13" s="16"/>
      <c r="N13" s="16"/>
      <c r="O13" s="16"/>
      <c r="P13" s="16"/>
      <c r="Q13" s="20"/>
    </row>
    <row r="14" spans="1:17">
      <c r="A14" s="20">
        <v>4</v>
      </c>
      <c r="B14" s="16" t="s">
        <v>67</v>
      </c>
      <c r="C14" s="16" t="s">
        <v>68</v>
      </c>
      <c r="D14" s="16">
        <v>4060442480</v>
      </c>
      <c r="E14" s="16">
        <v>5730638126.3999996</v>
      </c>
      <c r="F14" s="16" t="str">
        <f t="shared" si="0"/>
        <v>Cairo@Google.com</v>
      </c>
      <c r="G14" s="20">
        <v>14</v>
      </c>
      <c r="H14" s="16"/>
      <c r="I14" s="16"/>
      <c r="J14" s="16"/>
      <c r="K14" s="16"/>
      <c r="L14" s="16"/>
      <c r="M14" s="16"/>
      <c r="N14" s="16"/>
      <c r="O14" s="16"/>
      <c r="P14" s="16"/>
      <c r="Q14" s="20"/>
    </row>
    <row r="15" spans="1:17">
      <c r="A15" s="20">
        <v>4</v>
      </c>
      <c r="B15" s="16" t="s">
        <v>69</v>
      </c>
      <c r="C15" s="16" t="s">
        <v>70</v>
      </c>
      <c r="D15" s="16">
        <v>4105775808</v>
      </c>
      <c r="E15" s="16">
        <v>5812784905.4181805</v>
      </c>
      <c r="F15" s="16" t="str">
        <f t="shared" si="0"/>
        <v>Jermaine@Google.com</v>
      </c>
      <c r="G15" s="20">
        <v>15</v>
      </c>
      <c r="H15" s="16"/>
      <c r="I15" s="16"/>
      <c r="J15" s="16"/>
      <c r="K15" s="16"/>
      <c r="L15" s="16"/>
      <c r="M15" s="16"/>
      <c r="N15" s="16"/>
      <c r="O15" s="16"/>
      <c r="P15" s="16"/>
      <c r="Q15" s="20"/>
    </row>
    <row r="16" spans="1:17">
      <c r="A16" s="20">
        <v>5</v>
      </c>
      <c r="B16" s="16" t="s">
        <v>71</v>
      </c>
      <c r="C16" s="16" t="s">
        <v>72</v>
      </c>
      <c r="D16" s="16">
        <v>4284573915</v>
      </c>
      <c r="E16" s="16">
        <v>5894931684.4363604</v>
      </c>
      <c r="F16" s="16" t="str">
        <f t="shared" si="0"/>
        <v>Chandler@Google.com</v>
      </c>
      <c r="G16" s="20">
        <v>16</v>
      </c>
      <c r="H16" s="16"/>
      <c r="I16" s="16"/>
      <c r="J16" s="16"/>
      <c r="K16" s="16"/>
      <c r="L16" s="16"/>
      <c r="M16" s="16"/>
      <c r="N16" s="16"/>
      <c r="O16" s="16"/>
      <c r="P16" s="16"/>
      <c r="Q16" s="20"/>
    </row>
    <row r="17" spans="1:17">
      <c r="A17" s="20">
        <v>5</v>
      </c>
      <c r="B17" s="16" t="s">
        <v>73</v>
      </c>
      <c r="C17" s="16" t="s">
        <v>74</v>
      </c>
      <c r="D17" s="16">
        <v>4300830272</v>
      </c>
      <c r="E17" s="16">
        <v>5977078463.4545403</v>
      </c>
      <c r="F17" s="16" t="str">
        <f t="shared" si="0"/>
        <v>Fuller@Google.com</v>
      </c>
      <c r="G17" s="20">
        <v>17</v>
      </c>
      <c r="H17" s="16"/>
      <c r="I17" s="16"/>
      <c r="J17" s="16"/>
      <c r="K17" s="16"/>
      <c r="L17" s="16"/>
      <c r="M17" s="16"/>
      <c r="N17" s="16"/>
      <c r="O17" s="16"/>
      <c r="P17" s="16"/>
      <c r="Q17" s="20"/>
    </row>
    <row r="18" spans="1:17">
      <c r="A18" s="20">
        <v>5</v>
      </c>
      <c r="B18" s="16" t="s">
        <v>75</v>
      </c>
      <c r="C18" s="16" t="s">
        <v>76</v>
      </c>
      <c r="D18" s="16">
        <v>4318645808</v>
      </c>
      <c r="E18" s="16">
        <v>6059225242.4727297</v>
      </c>
      <c r="F18" s="16" t="str">
        <f t="shared" si="0"/>
        <v>Ariel@Google.com</v>
      </c>
      <c r="G18" s="20">
        <v>18</v>
      </c>
      <c r="H18" s="16"/>
      <c r="I18" s="16"/>
      <c r="J18" s="16"/>
      <c r="K18" s="16"/>
      <c r="L18" s="16"/>
      <c r="M18" s="16"/>
      <c r="N18" s="16"/>
      <c r="O18" s="16"/>
      <c r="P18" s="16"/>
      <c r="Q18" s="20"/>
    </row>
    <row r="19" spans="1:17">
      <c r="A19" s="20">
        <v>6</v>
      </c>
      <c r="B19" s="16" t="s">
        <v>77</v>
      </c>
      <c r="C19" s="16" t="s">
        <v>78</v>
      </c>
      <c r="D19" s="16">
        <v>4333250839</v>
      </c>
      <c r="E19" s="16">
        <v>6141372021.4909096</v>
      </c>
      <c r="F19" s="16" t="str">
        <f t="shared" si="0"/>
        <v>Harper@Google.com</v>
      </c>
      <c r="G19" s="20">
        <v>19</v>
      </c>
      <c r="H19" s="16"/>
      <c r="I19" s="16"/>
      <c r="J19" s="16"/>
      <c r="K19" s="16"/>
      <c r="L19" s="16"/>
      <c r="M19" s="16"/>
      <c r="N19" s="16"/>
      <c r="O19" s="16"/>
      <c r="P19" s="16"/>
      <c r="Q19" s="20"/>
    </row>
    <row r="20" spans="1:17">
      <c r="A20" s="20">
        <v>6</v>
      </c>
      <c r="B20" s="16" t="s">
        <v>79</v>
      </c>
      <c r="C20" s="16" t="s">
        <v>80</v>
      </c>
      <c r="D20" s="16">
        <v>4385915727</v>
      </c>
      <c r="E20" s="16">
        <v>6223518800.5090904</v>
      </c>
      <c r="F20" s="16" t="str">
        <f t="shared" si="0"/>
        <v>Talon@Google.com</v>
      </c>
      <c r="G20" s="20">
        <v>20</v>
      </c>
      <c r="H20" s="16"/>
      <c r="I20" s="16"/>
      <c r="J20" s="16"/>
      <c r="K20" s="16"/>
      <c r="L20" s="16"/>
      <c r="M20" s="16"/>
      <c r="N20" s="16"/>
      <c r="O20" s="16"/>
      <c r="P20" s="16"/>
      <c r="Q20" s="20"/>
    </row>
    <row r="21" spans="1:17">
      <c r="A21" s="20">
        <v>6</v>
      </c>
      <c r="B21" s="16" t="s">
        <v>81</v>
      </c>
      <c r="C21" s="16" t="s">
        <v>82</v>
      </c>
      <c r="D21" s="16">
        <v>4401926418</v>
      </c>
      <c r="E21" s="16">
        <v>6305665579.5272703</v>
      </c>
      <c r="F21" s="16" t="str">
        <f t="shared" si="0"/>
        <v>Levi@Google.com</v>
      </c>
      <c r="G21" s="20">
        <v>21</v>
      </c>
      <c r="H21" s="16"/>
      <c r="I21" s="16"/>
      <c r="J21" s="16"/>
      <c r="K21" s="16"/>
      <c r="L21" s="16"/>
      <c r="M21" s="16"/>
      <c r="N21" s="16"/>
      <c r="O21" s="16"/>
      <c r="P21" s="16"/>
      <c r="Q21" s="20"/>
    </row>
    <row r="22" spans="1:17">
      <c r="A22" s="20">
        <v>7</v>
      </c>
      <c r="B22" s="16" t="s">
        <v>83</v>
      </c>
      <c r="C22" s="16" t="s">
        <v>84</v>
      </c>
      <c r="D22" s="16">
        <v>4460231480</v>
      </c>
      <c r="E22" s="16">
        <v>6387812358.5454502</v>
      </c>
      <c r="F22" s="16" t="str">
        <f t="shared" si="0"/>
        <v>Peter@Google.com</v>
      </c>
      <c r="G22" s="20">
        <v>22</v>
      </c>
      <c r="H22" s="16"/>
      <c r="I22" s="16"/>
      <c r="J22" s="16"/>
      <c r="K22" s="16"/>
      <c r="L22" s="16"/>
      <c r="M22" s="16"/>
      <c r="N22" s="16"/>
      <c r="O22" s="16"/>
      <c r="P22" s="16"/>
      <c r="Q22" s="20"/>
    </row>
    <row r="23" spans="1:17">
      <c r="A23" s="20">
        <v>7</v>
      </c>
      <c r="B23" s="16" t="s">
        <v>85</v>
      </c>
      <c r="C23" s="16" t="s">
        <v>86</v>
      </c>
      <c r="D23" s="16">
        <v>4705151637</v>
      </c>
      <c r="E23" s="16">
        <v>6469959137.5636396</v>
      </c>
      <c r="F23" s="16" t="str">
        <f t="shared" si="0"/>
        <v>Lucas@Google.com</v>
      </c>
      <c r="G23" s="20">
        <v>23</v>
      </c>
      <c r="H23" s="16"/>
      <c r="I23" s="16"/>
      <c r="J23" s="16"/>
      <c r="K23" s="16"/>
      <c r="L23" s="16"/>
      <c r="M23" s="16"/>
      <c r="N23" s="16"/>
      <c r="O23" s="16"/>
      <c r="P23" s="16"/>
      <c r="Q23" s="20"/>
    </row>
    <row r="24" spans="1:17">
      <c r="A24" s="20">
        <v>7</v>
      </c>
      <c r="B24" s="16" t="s">
        <v>87</v>
      </c>
      <c r="C24" s="16" t="s">
        <v>88</v>
      </c>
      <c r="D24" s="16">
        <v>4739438696</v>
      </c>
      <c r="E24" s="16">
        <v>6552105916.5818195</v>
      </c>
      <c r="F24" s="16" t="str">
        <f t="shared" si="0"/>
        <v>Brynn@Google.com</v>
      </c>
      <c r="G24" s="20">
        <v>24</v>
      </c>
      <c r="H24" s="16"/>
      <c r="I24" s="16"/>
      <c r="J24" s="16"/>
      <c r="K24" s="16"/>
      <c r="L24" s="16"/>
      <c r="M24" s="16"/>
      <c r="N24" s="16"/>
      <c r="O24" s="16"/>
      <c r="P24" s="16"/>
      <c r="Q24" s="20"/>
    </row>
    <row r="25" spans="1:17">
      <c r="A25" s="20">
        <v>8</v>
      </c>
      <c r="B25" s="16" t="s">
        <v>89</v>
      </c>
      <c r="C25" s="16" t="s">
        <v>90</v>
      </c>
      <c r="D25" s="16">
        <v>4851929101</v>
      </c>
      <c r="E25" s="16">
        <v>6634252695.6000004</v>
      </c>
      <c r="F25" s="16" t="str">
        <f t="shared" si="0"/>
        <v>Liberty@Google.com</v>
      </c>
      <c r="G25" s="20">
        <v>25</v>
      </c>
      <c r="H25" s="16"/>
      <c r="I25" s="16"/>
      <c r="J25" s="16"/>
      <c r="K25" s="16"/>
      <c r="L25" s="16"/>
      <c r="M25" s="16"/>
      <c r="N25" s="16"/>
      <c r="O25" s="16"/>
      <c r="P25" s="16"/>
      <c r="Q25" s="20"/>
    </row>
    <row r="26" spans="1:17">
      <c r="A26" s="20">
        <v>8</v>
      </c>
      <c r="B26" s="16" t="s">
        <v>91</v>
      </c>
      <c r="C26" s="16" t="s">
        <v>92</v>
      </c>
      <c r="D26" s="16">
        <v>4899654523</v>
      </c>
      <c r="E26" s="16">
        <v>6716399474.6181803</v>
      </c>
      <c r="F26" s="16" t="str">
        <f t="shared" si="0"/>
        <v>Justin@Google.com</v>
      </c>
      <c r="G26" s="20">
        <v>26</v>
      </c>
      <c r="H26" s="16"/>
      <c r="I26" s="16"/>
      <c r="J26" s="16"/>
      <c r="K26" s="16"/>
    </row>
    <row r="27" spans="1:17">
      <c r="A27" s="20">
        <v>2</v>
      </c>
      <c r="B27" s="16" t="s">
        <v>235</v>
      </c>
      <c r="C27" s="16" t="s">
        <v>237</v>
      </c>
      <c r="D27" s="16"/>
      <c r="E27" s="16"/>
      <c r="F27" s="16" t="s">
        <v>236</v>
      </c>
      <c r="G27" s="20">
        <v>27</v>
      </c>
      <c r="H27" s="16"/>
      <c r="I27" s="16"/>
      <c r="J27" s="16"/>
      <c r="K27" s="16"/>
    </row>
    <row r="28" spans="1:17">
      <c r="A28" s="20">
        <v>3</v>
      </c>
      <c r="B28" s="16" t="s">
        <v>247</v>
      </c>
      <c r="C28" s="16" t="s">
        <v>248</v>
      </c>
      <c r="D28" s="16">
        <v>12</v>
      </c>
      <c r="E28" s="16">
        <v>12</v>
      </c>
      <c r="F28" s="16" t="s">
        <v>249</v>
      </c>
      <c r="G28" s="16">
        <f>ROW()</f>
        <v>28</v>
      </c>
      <c r="H28" s="16"/>
      <c r="I28" s="16"/>
      <c r="J28" s="16"/>
      <c r="K28" s="16"/>
    </row>
    <row r="29" spans="1:17">
      <c r="A29" s="20">
        <v>3</v>
      </c>
      <c r="B29" s="16" t="s">
        <v>250</v>
      </c>
      <c r="C29" s="16" t="s">
        <v>251</v>
      </c>
      <c r="D29" s="16">
        <v>4545454545</v>
      </c>
      <c r="E29" s="16"/>
      <c r="F29" s="16" t="s">
        <v>252</v>
      </c>
      <c r="G29" s="16">
        <f>ROW()</f>
        <v>29</v>
      </c>
      <c r="H29" s="16"/>
      <c r="I29" s="16"/>
      <c r="J29" s="16"/>
      <c r="K29" s="16"/>
    </row>
    <row r="30" spans="1:17">
      <c r="A30" s="20"/>
      <c r="B30" s="16"/>
      <c r="C30" s="16"/>
      <c r="D30" s="16"/>
      <c r="E30" s="16"/>
      <c r="F30" s="16"/>
      <c r="G30" s="16"/>
      <c r="H30" s="16"/>
      <c r="I30" s="16"/>
      <c r="J30" s="16"/>
      <c r="K30" s="16"/>
    </row>
    <row r="31" spans="1:17">
      <c r="A31" s="2"/>
    </row>
    <row r="32" spans="1:17">
      <c r="A32" s="2"/>
    </row>
    <row r="33" spans="1:1">
      <c r="A33" s="2"/>
    </row>
    <row r="34" spans="1:1">
      <c r="A34" s="2"/>
    </row>
    <row r="35" spans="1:1">
      <c r="A35" s="2"/>
    </row>
  </sheetData>
  <mergeCells count="2">
    <mergeCell ref="A2:G2"/>
    <mergeCell ref="L1:Q1"/>
  </mergeCells>
  <conditionalFormatting sqref="A4:G33">
    <cfRule type="expression" dxfId="1" priority="1">
      <formula>AND(A4&lt;&gt;"",MOD(ROW(),2)=0)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L25"/>
  <sheetViews>
    <sheetView workbookViewId="0">
      <selection activeCell="H1" sqref="H1"/>
    </sheetView>
  </sheetViews>
  <sheetFormatPr defaultRowHeight="15"/>
  <cols>
    <col min="1" max="1" width="6.5" customWidth="1"/>
    <col min="2" max="2" width="9.75" customWidth="1"/>
    <col min="3" max="3" width="7.25" customWidth="1"/>
    <col min="4" max="4" width="5.625" customWidth="1"/>
    <col min="5" max="5" width="6.25" customWidth="1"/>
    <col min="9" max="9" width="9.75" customWidth="1"/>
    <col min="10" max="10" width="7.25" customWidth="1"/>
    <col min="11" max="11" width="5.5" customWidth="1"/>
    <col min="12" max="12" width="6.25" customWidth="1"/>
  </cols>
  <sheetData>
    <row r="1" spans="1:12" ht="15.75">
      <c r="A1" s="77" t="s">
        <v>13</v>
      </c>
      <c r="B1" s="77"/>
      <c r="C1" s="77"/>
      <c r="D1" s="77"/>
      <c r="E1" s="77"/>
      <c r="G1" s="32" t="s">
        <v>221</v>
      </c>
      <c r="I1" s="78" t="s">
        <v>220</v>
      </c>
      <c r="J1" s="78"/>
      <c r="K1" s="78"/>
      <c r="L1" s="78"/>
    </row>
    <row r="2" spans="1:12">
      <c r="A2" s="31" t="s">
        <v>218</v>
      </c>
      <c r="B2" s="31" t="s">
        <v>11</v>
      </c>
      <c r="C2" s="31" t="s">
        <v>22</v>
      </c>
      <c r="D2" s="31" t="s">
        <v>16</v>
      </c>
      <c r="E2" s="31" t="s">
        <v>15</v>
      </c>
      <c r="G2" s="29" t="s">
        <v>218</v>
      </c>
      <c r="I2" s="29" t="s">
        <v>11</v>
      </c>
      <c r="J2" s="29" t="s">
        <v>22</v>
      </c>
      <c r="K2" s="29" t="s">
        <v>16</v>
      </c>
      <c r="L2" s="29" t="s">
        <v>15</v>
      </c>
    </row>
    <row r="3" spans="1:12">
      <c r="A3" s="2">
        <v>1</v>
      </c>
      <c r="B3" s="26">
        <v>43831</v>
      </c>
      <c r="C3">
        <v>1</v>
      </c>
      <c r="D3" t="s">
        <v>227</v>
      </c>
      <c r="E3">
        <v>150</v>
      </c>
      <c r="G3" s="44">
        <f>CustomerMgr!B2</f>
        <v>3</v>
      </c>
      <c r="I3" s="26">
        <v>43842</v>
      </c>
      <c r="J3">
        <v>12</v>
      </c>
      <c r="K3" t="s">
        <v>227</v>
      </c>
      <c r="L3">
        <v>145</v>
      </c>
    </row>
    <row r="4" spans="1:12">
      <c r="A4" s="2">
        <v>1</v>
      </c>
      <c r="B4" s="26">
        <v>43832</v>
      </c>
      <c r="C4">
        <v>2</v>
      </c>
      <c r="D4" t="s">
        <v>25</v>
      </c>
      <c r="E4">
        <v>250</v>
      </c>
      <c r="I4" s="26">
        <v>43843</v>
      </c>
      <c r="J4">
        <v>13</v>
      </c>
      <c r="K4" t="s">
        <v>25</v>
      </c>
      <c r="L4">
        <v>145</v>
      </c>
    </row>
    <row r="5" spans="1:12">
      <c r="A5" s="2">
        <v>1</v>
      </c>
      <c r="B5" s="26">
        <v>43833</v>
      </c>
      <c r="C5">
        <v>3</v>
      </c>
      <c r="D5" t="s">
        <v>226</v>
      </c>
      <c r="E5">
        <v>145</v>
      </c>
      <c r="I5" s="26">
        <v>43844</v>
      </c>
      <c r="J5">
        <v>14</v>
      </c>
      <c r="K5" t="s">
        <v>226</v>
      </c>
      <c r="L5">
        <v>451</v>
      </c>
    </row>
    <row r="6" spans="1:12">
      <c r="A6" s="2">
        <v>1</v>
      </c>
      <c r="B6" s="26">
        <v>43834</v>
      </c>
      <c r="C6">
        <v>4</v>
      </c>
      <c r="D6" t="s">
        <v>228</v>
      </c>
      <c r="E6">
        <v>145</v>
      </c>
      <c r="I6" s="26">
        <v>43845</v>
      </c>
      <c r="J6">
        <v>15</v>
      </c>
      <c r="K6" t="s">
        <v>227</v>
      </c>
      <c r="L6">
        <v>521</v>
      </c>
    </row>
    <row r="7" spans="1:12">
      <c r="A7" s="2">
        <v>1</v>
      </c>
      <c r="B7" s="26">
        <v>43835</v>
      </c>
      <c r="C7">
        <v>5</v>
      </c>
      <c r="D7" t="s">
        <v>227</v>
      </c>
      <c r="E7">
        <v>451</v>
      </c>
      <c r="I7" s="26">
        <v>43846</v>
      </c>
      <c r="J7">
        <v>16</v>
      </c>
      <c r="K7" t="s">
        <v>25</v>
      </c>
      <c r="L7">
        <v>451</v>
      </c>
    </row>
    <row r="8" spans="1:12">
      <c r="A8" s="2">
        <v>2</v>
      </c>
      <c r="B8" s="26">
        <v>43836</v>
      </c>
      <c r="C8">
        <v>6</v>
      </c>
      <c r="D8" t="s">
        <v>25</v>
      </c>
      <c r="E8">
        <v>521</v>
      </c>
      <c r="I8" s="26"/>
    </row>
    <row r="9" spans="1:12">
      <c r="A9" s="2">
        <v>2</v>
      </c>
      <c r="B9" s="26">
        <v>43837</v>
      </c>
      <c r="C9">
        <v>7</v>
      </c>
      <c r="D9" t="s">
        <v>226</v>
      </c>
      <c r="E9">
        <v>451</v>
      </c>
    </row>
    <row r="10" spans="1:12">
      <c r="A10" s="2">
        <v>2</v>
      </c>
      <c r="B10" s="26">
        <v>43838</v>
      </c>
      <c r="C10">
        <v>8</v>
      </c>
      <c r="D10" t="s">
        <v>227</v>
      </c>
      <c r="E10">
        <v>154</v>
      </c>
    </row>
    <row r="11" spans="1:12">
      <c r="A11" s="2">
        <v>2</v>
      </c>
      <c r="B11" s="26">
        <v>43839</v>
      </c>
      <c r="C11">
        <v>9</v>
      </c>
      <c r="D11" t="s">
        <v>25</v>
      </c>
      <c r="E11">
        <v>745</v>
      </c>
    </row>
    <row r="12" spans="1:12">
      <c r="A12" s="2">
        <v>2</v>
      </c>
      <c r="B12" s="26">
        <v>43840</v>
      </c>
      <c r="C12">
        <v>10</v>
      </c>
      <c r="D12" t="s">
        <v>226</v>
      </c>
      <c r="E12">
        <v>150</v>
      </c>
    </row>
    <row r="13" spans="1:12">
      <c r="A13" s="2">
        <v>2</v>
      </c>
      <c r="B13" s="26">
        <v>43841</v>
      </c>
      <c r="C13">
        <v>11</v>
      </c>
      <c r="D13" t="s">
        <v>228</v>
      </c>
      <c r="E13">
        <v>250</v>
      </c>
    </row>
    <row r="14" spans="1:12">
      <c r="A14" s="2">
        <v>3</v>
      </c>
      <c r="B14" s="26">
        <v>43842</v>
      </c>
      <c r="C14">
        <v>12</v>
      </c>
      <c r="D14" t="s">
        <v>227</v>
      </c>
      <c r="E14">
        <v>145</v>
      </c>
    </row>
    <row r="15" spans="1:12">
      <c r="A15" s="2">
        <v>3</v>
      </c>
      <c r="B15" s="26">
        <v>43843</v>
      </c>
      <c r="C15">
        <v>13</v>
      </c>
      <c r="D15" t="s">
        <v>25</v>
      </c>
      <c r="E15">
        <v>145</v>
      </c>
    </row>
    <row r="16" spans="1:12">
      <c r="A16" s="2">
        <v>3</v>
      </c>
      <c r="B16" s="26">
        <v>43844</v>
      </c>
      <c r="C16">
        <v>14</v>
      </c>
      <c r="D16" t="s">
        <v>226</v>
      </c>
      <c r="E16">
        <v>451</v>
      </c>
    </row>
    <row r="17" spans="1:5">
      <c r="A17" s="2">
        <v>3</v>
      </c>
      <c r="B17" s="26">
        <v>43845</v>
      </c>
      <c r="C17">
        <v>15</v>
      </c>
      <c r="D17" t="s">
        <v>227</v>
      </c>
      <c r="E17">
        <v>521</v>
      </c>
    </row>
    <row r="18" spans="1:5">
      <c r="A18" s="2">
        <v>3</v>
      </c>
      <c r="B18" s="26">
        <v>43846</v>
      </c>
      <c r="C18">
        <v>16</v>
      </c>
      <c r="D18" t="s">
        <v>25</v>
      </c>
      <c r="E18">
        <v>451</v>
      </c>
    </row>
    <row r="19" spans="1:5">
      <c r="A19" s="2">
        <v>4</v>
      </c>
      <c r="B19" s="26">
        <v>43847</v>
      </c>
      <c r="C19">
        <v>17</v>
      </c>
      <c r="D19" t="s">
        <v>226</v>
      </c>
      <c r="E19">
        <v>154</v>
      </c>
    </row>
    <row r="20" spans="1:5">
      <c r="A20" s="2">
        <v>4</v>
      </c>
      <c r="B20" s="26">
        <v>43848</v>
      </c>
      <c r="C20">
        <v>18</v>
      </c>
      <c r="D20" t="s">
        <v>228</v>
      </c>
      <c r="E20">
        <v>745</v>
      </c>
    </row>
    <row r="21" spans="1:5">
      <c r="A21" s="2">
        <v>4</v>
      </c>
      <c r="B21" s="26">
        <v>43849</v>
      </c>
      <c r="C21">
        <v>19</v>
      </c>
      <c r="D21" t="s">
        <v>227</v>
      </c>
      <c r="E21">
        <v>451</v>
      </c>
    </row>
    <row r="22" spans="1:5">
      <c r="A22" s="2">
        <v>4</v>
      </c>
      <c r="B22" s="26">
        <v>43850</v>
      </c>
      <c r="C22">
        <v>20</v>
      </c>
      <c r="D22" t="s">
        <v>25</v>
      </c>
      <c r="E22">
        <v>521</v>
      </c>
    </row>
    <row r="23" spans="1:5">
      <c r="A23" s="2">
        <v>4</v>
      </c>
      <c r="B23" s="26">
        <v>43851</v>
      </c>
      <c r="C23">
        <v>21</v>
      </c>
      <c r="D23" t="s">
        <v>226</v>
      </c>
      <c r="E23">
        <v>451</v>
      </c>
    </row>
    <row r="24" spans="1:5">
      <c r="A24" s="2">
        <v>4</v>
      </c>
      <c r="B24" s="26">
        <v>43852</v>
      </c>
      <c r="C24">
        <v>22</v>
      </c>
      <c r="D24" t="s">
        <v>227</v>
      </c>
      <c r="E24">
        <v>154</v>
      </c>
    </row>
    <row r="25" spans="1:5">
      <c r="A25" s="2">
        <v>4</v>
      </c>
      <c r="B25" s="26">
        <v>43853</v>
      </c>
      <c r="C25">
        <v>23</v>
      </c>
      <c r="D25" t="s">
        <v>25</v>
      </c>
      <c r="E25">
        <v>745</v>
      </c>
    </row>
  </sheetData>
  <mergeCells count="2">
    <mergeCell ref="A1:E1"/>
    <mergeCell ref="I1:L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J25"/>
  <sheetViews>
    <sheetView workbookViewId="0">
      <selection activeCell="F4" sqref="F4"/>
    </sheetView>
  </sheetViews>
  <sheetFormatPr defaultRowHeight="15"/>
  <cols>
    <col min="2" max="2" width="12.75" customWidth="1"/>
    <col min="8" max="8" width="12.75" customWidth="1"/>
    <col min="9" max="9" width="4.625" customWidth="1"/>
  </cols>
  <sheetData>
    <row r="1" spans="1:10" ht="18.75">
      <c r="A1" s="79" t="s">
        <v>14</v>
      </c>
      <c r="B1" s="79"/>
      <c r="C1" s="79"/>
      <c r="D1" s="79"/>
      <c r="F1" s="30" t="s">
        <v>221</v>
      </c>
      <c r="H1" s="80" t="s">
        <v>220</v>
      </c>
      <c r="I1" s="80"/>
      <c r="J1" s="80"/>
    </row>
    <row r="2" spans="1:10">
      <c r="A2" s="28" t="s">
        <v>218</v>
      </c>
      <c r="B2" s="28" t="s">
        <v>23</v>
      </c>
      <c r="C2" s="28" t="s">
        <v>12</v>
      </c>
      <c r="D2" s="28" t="s">
        <v>16</v>
      </c>
      <c r="F2" s="28" t="s">
        <v>218</v>
      </c>
      <c r="H2" s="28" t="s">
        <v>23</v>
      </c>
      <c r="I2" s="28" t="s">
        <v>12</v>
      </c>
      <c r="J2" s="28" t="s">
        <v>16</v>
      </c>
    </row>
    <row r="3" spans="1:10">
      <c r="A3" s="2">
        <v>1</v>
      </c>
      <c r="B3" s="27">
        <v>43831</v>
      </c>
      <c r="C3" s="2">
        <v>1</v>
      </c>
      <c r="D3" s="2" t="s">
        <v>25</v>
      </c>
      <c r="F3" s="2">
        <f>CustomerMgr!B2</f>
        <v>3</v>
      </c>
      <c r="H3" s="27">
        <v>43842</v>
      </c>
      <c r="I3" s="2">
        <v>12</v>
      </c>
      <c r="J3" s="2" t="s">
        <v>226</v>
      </c>
    </row>
    <row r="4" spans="1:10">
      <c r="A4" s="2">
        <v>1</v>
      </c>
      <c r="B4" s="27">
        <v>43832</v>
      </c>
      <c r="C4" s="2">
        <v>2</v>
      </c>
      <c r="D4" s="2" t="s">
        <v>226</v>
      </c>
      <c r="H4" s="27">
        <v>43843</v>
      </c>
      <c r="I4" s="2">
        <v>13</v>
      </c>
      <c r="J4" s="2" t="s">
        <v>25</v>
      </c>
    </row>
    <row r="5" spans="1:10">
      <c r="A5" s="2">
        <v>1</v>
      </c>
      <c r="B5" s="27">
        <v>43833</v>
      </c>
      <c r="C5" s="2">
        <v>3</v>
      </c>
      <c r="D5" s="2" t="s">
        <v>25</v>
      </c>
      <c r="H5" s="27">
        <v>43844</v>
      </c>
      <c r="I5" s="2">
        <v>14</v>
      </c>
      <c r="J5" s="2" t="s">
        <v>226</v>
      </c>
    </row>
    <row r="6" spans="1:10">
      <c r="A6" s="2">
        <v>1</v>
      </c>
      <c r="B6" s="27">
        <v>43834</v>
      </c>
      <c r="C6" s="2">
        <v>4</v>
      </c>
      <c r="D6" s="2" t="s">
        <v>226</v>
      </c>
      <c r="H6" s="27">
        <v>43845</v>
      </c>
      <c r="I6" s="2">
        <v>15</v>
      </c>
      <c r="J6" s="2" t="s">
        <v>25</v>
      </c>
    </row>
    <row r="7" spans="1:10">
      <c r="A7" s="2">
        <v>1</v>
      </c>
      <c r="B7" s="27">
        <v>43835</v>
      </c>
      <c r="C7" s="2">
        <v>5</v>
      </c>
      <c r="D7" s="2" t="s">
        <v>25</v>
      </c>
      <c r="H7" s="27">
        <v>43846</v>
      </c>
      <c r="I7" s="2">
        <v>16</v>
      </c>
      <c r="J7" s="2" t="s">
        <v>226</v>
      </c>
    </row>
    <row r="8" spans="1:10">
      <c r="A8" s="2">
        <v>2</v>
      </c>
      <c r="B8" s="27">
        <v>43836</v>
      </c>
      <c r="C8" s="2">
        <v>6</v>
      </c>
      <c r="D8" s="2" t="s">
        <v>226</v>
      </c>
      <c r="I8" s="2"/>
      <c r="J8" s="2"/>
    </row>
    <row r="9" spans="1:10">
      <c r="A9" s="2">
        <v>2</v>
      </c>
      <c r="B9" s="27">
        <v>43837</v>
      </c>
      <c r="C9" s="2">
        <v>7</v>
      </c>
      <c r="D9" s="2" t="s">
        <v>25</v>
      </c>
      <c r="I9" s="2"/>
      <c r="J9" s="2"/>
    </row>
    <row r="10" spans="1:10">
      <c r="A10" s="2">
        <v>2</v>
      </c>
      <c r="B10" s="27">
        <v>43838</v>
      </c>
      <c r="C10" s="2">
        <v>8</v>
      </c>
      <c r="D10" s="2" t="s">
        <v>226</v>
      </c>
      <c r="I10" s="2"/>
      <c r="J10" s="2"/>
    </row>
    <row r="11" spans="1:10">
      <c r="A11" s="2">
        <v>2</v>
      </c>
      <c r="B11" s="27">
        <v>43839</v>
      </c>
      <c r="C11" s="2">
        <v>9</v>
      </c>
      <c r="D11" s="2" t="s">
        <v>25</v>
      </c>
      <c r="I11" s="2"/>
      <c r="J11" s="2"/>
    </row>
    <row r="12" spans="1:10">
      <c r="A12" s="2">
        <v>2</v>
      </c>
      <c r="B12" s="27">
        <v>43840</v>
      </c>
      <c r="C12" s="2">
        <v>10</v>
      </c>
      <c r="D12" s="2" t="s">
        <v>226</v>
      </c>
      <c r="I12" s="2"/>
      <c r="J12" s="2"/>
    </row>
    <row r="13" spans="1:10">
      <c r="A13" s="2">
        <v>2</v>
      </c>
      <c r="B13" s="27">
        <v>43841</v>
      </c>
      <c r="C13" s="2">
        <v>11</v>
      </c>
      <c r="D13" s="2" t="s">
        <v>25</v>
      </c>
      <c r="I13" s="2"/>
      <c r="J13" s="2"/>
    </row>
    <row r="14" spans="1:10">
      <c r="A14" s="2">
        <v>3</v>
      </c>
      <c r="B14" s="27">
        <v>43842</v>
      </c>
      <c r="C14" s="2">
        <v>12</v>
      </c>
      <c r="D14" s="2" t="s">
        <v>226</v>
      </c>
      <c r="I14" s="2"/>
      <c r="J14" s="2"/>
    </row>
    <row r="15" spans="1:10">
      <c r="A15" s="2">
        <v>3</v>
      </c>
      <c r="B15" s="27">
        <v>43843</v>
      </c>
      <c r="C15" s="2">
        <v>13</v>
      </c>
      <c r="D15" s="2" t="s">
        <v>25</v>
      </c>
      <c r="I15" s="2"/>
      <c r="J15" s="2"/>
    </row>
    <row r="16" spans="1:10">
      <c r="A16" s="2">
        <v>3</v>
      </c>
      <c r="B16" s="27">
        <v>43844</v>
      </c>
      <c r="C16" s="2">
        <v>14</v>
      </c>
      <c r="D16" s="2" t="s">
        <v>226</v>
      </c>
      <c r="I16" s="2"/>
      <c r="J16" s="2"/>
    </row>
    <row r="17" spans="1:10">
      <c r="A17" s="2">
        <v>3</v>
      </c>
      <c r="B17" s="27">
        <v>43845</v>
      </c>
      <c r="C17" s="2">
        <v>15</v>
      </c>
      <c r="D17" s="2" t="s">
        <v>25</v>
      </c>
      <c r="I17" s="2"/>
      <c r="J17" s="2"/>
    </row>
    <row r="18" spans="1:10">
      <c r="A18" s="2">
        <v>3</v>
      </c>
      <c r="B18" s="27">
        <v>43846</v>
      </c>
      <c r="C18" s="2">
        <v>16</v>
      </c>
      <c r="D18" s="2" t="s">
        <v>226</v>
      </c>
      <c r="I18" s="2"/>
      <c r="J18" s="2"/>
    </row>
    <row r="19" spans="1:10">
      <c r="A19" s="2">
        <v>4</v>
      </c>
      <c r="B19" s="27">
        <v>43847</v>
      </c>
      <c r="C19" s="2">
        <v>17</v>
      </c>
      <c r="D19" s="2" t="s">
        <v>25</v>
      </c>
      <c r="I19" s="2"/>
      <c r="J19" s="2"/>
    </row>
    <row r="20" spans="1:10">
      <c r="A20" s="2">
        <v>4</v>
      </c>
      <c r="B20" s="27">
        <v>43848</v>
      </c>
      <c r="C20" s="2">
        <v>18</v>
      </c>
      <c r="D20" s="2" t="s">
        <v>226</v>
      </c>
      <c r="I20" s="2"/>
      <c r="J20" s="2"/>
    </row>
    <row r="21" spans="1:10">
      <c r="A21" s="2">
        <v>4</v>
      </c>
      <c r="B21" s="27">
        <v>43849</v>
      </c>
      <c r="C21" s="2">
        <v>19</v>
      </c>
      <c r="D21" s="2" t="s">
        <v>25</v>
      </c>
      <c r="I21" s="2"/>
      <c r="J21" s="2"/>
    </row>
    <row r="22" spans="1:10">
      <c r="A22" s="2">
        <v>4</v>
      </c>
      <c r="B22" s="27">
        <v>43850</v>
      </c>
      <c r="C22" s="2">
        <v>20</v>
      </c>
      <c r="D22" s="2" t="s">
        <v>226</v>
      </c>
      <c r="I22" s="2"/>
      <c r="J22" s="2"/>
    </row>
    <row r="23" spans="1:10">
      <c r="A23" s="2">
        <v>4</v>
      </c>
      <c r="B23" s="27">
        <v>43851</v>
      </c>
      <c r="C23" s="2">
        <v>21</v>
      </c>
      <c r="D23" s="2" t="s">
        <v>25</v>
      </c>
      <c r="I23" s="2"/>
      <c r="J23" s="2"/>
    </row>
    <row r="24" spans="1:10">
      <c r="A24" s="2">
        <v>4</v>
      </c>
      <c r="B24" s="27">
        <v>43852</v>
      </c>
      <c r="C24" s="2">
        <v>22</v>
      </c>
      <c r="D24" s="2" t="s">
        <v>226</v>
      </c>
      <c r="I24" s="2"/>
      <c r="J24" s="2"/>
    </row>
    <row r="25" spans="1:10">
      <c r="A25" s="2">
        <v>4</v>
      </c>
      <c r="B25" s="27">
        <v>43853</v>
      </c>
      <c r="C25" s="2">
        <v>23</v>
      </c>
      <c r="D25" s="2" t="s">
        <v>25</v>
      </c>
      <c r="I25" s="2"/>
      <c r="J25" s="2"/>
    </row>
  </sheetData>
  <mergeCells count="2">
    <mergeCell ref="A1:D1"/>
    <mergeCell ref="H1:J1"/>
  </mergeCells>
  <conditionalFormatting sqref="A3:D25">
    <cfRule type="expression" dxfId="0" priority="1">
      <formula>MOD(ROW(),2)=0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CustomerMgr</vt:lpstr>
      <vt:lpstr>Customers</vt:lpstr>
      <vt:lpstr>Contacts</vt:lpstr>
      <vt:lpstr>Invoices</vt:lpstr>
      <vt:lpstr>Work Orders</vt:lpstr>
      <vt:lpstr>Contacts!Criteria</vt:lpstr>
      <vt:lpstr>Invoices!Criteria</vt:lpstr>
      <vt:lpstr>'Work Orders'!Criteria</vt:lpstr>
      <vt:lpstr>Contacts!Extract</vt:lpstr>
      <vt:lpstr>Invoices!Extract</vt:lpstr>
      <vt:lpstr>'Work Orders'!Extract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suzen</cp:lastModifiedBy>
  <cp:lastPrinted>2020-03-27T10:17:13Z</cp:lastPrinted>
  <dcterms:created xsi:type="dcterms:W3CDTF">2020-03-27T06:57:11Z</dcterms:created>
  <dcterms:modified xsi:type="dcterms:W3CDTF">2024-05-20T18:17:46Z</dcterms:modified>
</cp:coreProperties>
</file>